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name="Sheet1" sheetId="1" state="visible" r:id="rId1"/>
    <sheet name="roadmap" sheetId="2" state="visible" r:id="rId2"/>
    <sheet name="課題管理表" sheetId="3" state="visible" r:id="rId3"/>
    <sheet name="サーバー設計" sheetId="4" state="visible" r:id="rId4"/>
    <sheet name="費用見積" sheetId="5" state="visible" r:id="rId5"/>
    <sheet name="リスト" sheetId="6" state="visible" r:id="rId6"/>
  </sheets>
  <definedNames/>
  <calcPr calcId="191029" fullCalcOnLoad="1"/>
</workbook>
</file>

<file path=xl/styles.xml><?xml version="1.0" encoding="utf-8"?>
<styleSheet xmlns="http://schemas.openxmlformats.org/spreadsheetml/2006/main">
  <numFmts count="2">
    <numFmt numFmtId="164" formatCode="yyyy/mm/dd"/>
    <numFmt numFmtId="165" formatCode="#,##0;(#,##0);-"/>
  </numFmts>
  <fonts count="9">
    <font>
      <name val="Meiryo UI"/>
      <charset val="128"/>
      <family val="3"/>
      <color theme="1"/>
      <sz val="10"/>
    </font>
    <font>
      <name val="Meiryo UI"/>
      <charset val="128"/>
      <family val="3"/>
      <color theme="1"/>
      <sz val="10"/>
    </font>
    <font>
      <name val="Yu Gothic"/>
      <charset val="128"/>
      <family val="3"/>
      <sz val="6"/>
      <scheme val="minor"/>
    </font>
    <font>
      <name val="Meiryo UI"/>
      <charset val="128"/>
      <family val="3"/>
      <color theme="0"/>
      <sz val="10"/>
    </font>
    <font>
      <name val="Meiryo UI"/>
      <charset val="128"/>
      <family val="3"/>
      <sz val="6"/>
    </font>
    <font>
      <name val="Meiryo UI"/>
      <charset val="128"/>
      <family val="3"/>
      <i val="1"/>
      <color theme="1"/>
      <sz val="10"/>
    </font>
    <font>
      <name val="Meiryo UI"/>
      <charset val="128"/>
      <family val="3"/>
      <color theme="10"/>
      <sz val="10"/>
      <u val="single"/>
    </font>
    <font>
      <name val="Meiryo UI"/>
      <charset val="128"/>
      <family val="3"/>
      <color theme="0" tint="-0.249977111117893"/>
      <sz val="10"/>
    </font>
    <font>
      <name val="Meiryo UI"/>
      <color rgb="FF0000FF"/>
      <sz val="10"/>
    </font>
  </fonts>
  <fills count="4">
    <fill>
      <patternFill/>
    </fill>
    <fill>
      <patternFill patternType="gray125"/>
    </fill>
    <fill>
      <patternFill patternType="solid">
        <fgColor theme="0" tint="-0.1499984740745262"/>
        <bgColor indexed="64"/>
      </patternFill>
    </fill>
    <fill>
      <patternFill patternType="solid">
        <fgColor theme="7"/>
        <bgColor indexed="64"/>
      </patternFill>
    </fill>
  </fills>
  <borders count="2">
    <border>
      <left/>
      <right/>
      <top/>
      <bottom/>
      <diagonal/>
    </border>
    <border>
      <left/>
      <right/>
      <top style="thin">
        <color theme="1" tint="0.499984740745262"/>
      </top>
      <bottom style="thin">
        <color theme="1" tint="0.499984740745262"/>
      </bottom>
      <diagonal/>
    </border>
  </borders>
  <cellStyleXfs count="4">
    <xf numFmtId="0" fontId="1" fillId="0" borderId="0" applyAlignment="1">
      <alignment vertical="top"/>
    </xf>
    <xf numFmtId="0" fontId="1" fillId="0" borderId="0"/>
    <xf numFmtId="0" fontId="6" fillId="0" borderId="0"/>
    <xf numFmtId="0" fontId="6" fillId="0" borderId="0" applyAlignment="1">
      <alignment vertical="top"/>
    </xf>
  </cellStyleXfs>
  <cellXfs count="19">
    <xf numFmtId="0" fontId="0"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horizontal="center" vertical="top"/>
    </xf>
    <xf numFmtId="0" fontId="1" fillId="0" borderId="1" applyAlignment="1" pivotButton="0" quotePrefix="0" xfId="0">
      <alignment vertical="top" wrapText="1"/>
    </xf>
    <xf numFmtId="0" fontId="1" fillId="0" borderId="0" applyAlignment="1" pivotButton="0" quotePrefix="0" xfId="0">
      <alignment vertical="top" wrapText="1"/>
    </xf>
    <xf numFmtId="14" fontId="1" fillId="0" borderId="1" applyAlignment="1" pivotButton="0" quotePrefix="0" xfId="0">
      <alignment vertical="top" wrapText="1"/>
    </xf>
    <xf numFmtId="0" fontId="5" fillId="2" borderId="1" applyAlignment="1" pivotButton="0" quotePrefix="0" xfId="0">
      <alignment horizontal="center" vertical="top"/>
    </xf>
    <xf numFmtId="0" fontId="7" fillId="0" borderId="0" applyAlignment="1" pivotButton="0" quotePrefix="0" xfId="0">
      <alignment vertical="top" wrapText="1"/>
    </xf>
    <xf numFmtId="0" fontId="0" fillId="0" borderId="1" applyAlignment="1" pivotButton="0" quotePrefix="0" xfId="0">
      <alignment vertical="top"/>
    </xf>
    <xf numFmtId="0" fontId="7" fillId="0" borderId="0" applyAlignment="1" pivotButton="0" quotePrefix="0" xfId="0">
      <alignment horizontal="center" vertical="top"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3" fillId="3" borderId="1" applyAlignment="1" pivotButton="0" quotePrefix="0" xfId="0">
      <alignment horizontal="center" vertical="top" wrapText="1"/>
    </xf>
    <xf numFmtId="0" fontId="0" fillId="0" borderId="0" pivotButton="0" quotePrefix="0" xfId="0"/>
    <xf numFmtId="164" fontId="1" fillId="0" borderId="1" applyAlignment="1" pivotButton="0" quotePrefix="0" xfId="0">
      <alignment vertical="top" wrapText="1"/>
    </xf>
    <xf numFmtId="0" fontId="7" fillId="0" borderId="0" pivotButton="0" quotePrefix="0" xfId="0"/>
    <xf numFmtId="164" fontId="1" fillId="0" borderId="1" applyAlignment="1" pivotButton="0" quotePrefix="0" xfId="0">
      <alignment vertical="top" wrapText="1"/>
    </xf>
    <xf numFmtId="165" fontId="8" fillId="0" borderId="1" applyAlignment="1" pivotButton="0" quotePrefix="0" xfId="0">
      <alignment vertical="top" wrapText="1"/>
    </xf>
    <xf numFmtId="165" fontId="1" fillId="0" borderId="1" applyAlignment="1" pivotButton="0" quotePrefix="0" xfId="0">
      <alignment vertical="top" wrapText="1"/>
    </xf>
  </cellXfs>
  <cellStyles count="4">
    <cellStyle name="標準" xfId="0" builtinId="0"/>
    <cellStyle name="標準 2" xfId="1"/>
    <cellStyle name="ハイパーリンク 2" xfId="2"/>
    <cellStyle name="ハイパーリンク 3" xfId="3"/>
  </cellStyles>
  <dxfs count="7">
    <dxf>
      <fill>
        <patternFill>
          <bgColor theme="5" tint="0.5999633777886288"/>
        </patternFill>
      </fill>
    </dxf>
    <dxf>
      <font>
        <color theme="0"/>
      </font>
      <fill>
        <patternFill>
          <bgColor theme="5"/>
        </patternFill>
      </fill>
    </dxf>
    <dxf>
      <fill>
        <patternFill>
          <bgColor theme="0" tint="-0.3499862666707358"/>
        </patternFill>
      </fill>
    </dxf>
    <dxf>
      <fill>
        <patternFill>
          <bgColor theme="0" tint="-0.249946592608417"/>
        </patternFill>
      </fill>
    </dxf>
    <dxf>
      <font>
        <color theme="0" tint="-0.1499679555650502"/>
      </font>
    </dxf>
    <dxf>
      <font>
        <color rgb="FFBFBFBF"/>
      </font>
    </dxf>
    <dxf>
      <fill>
        <patternFill patternType="solid">
          <fgColor rgb="FFD9D9D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Claude</author>
  </authors>
  <commentList>
    <comment ref="F1" authorId="0" shapeId="0">
      <text>
        <t>決めた内容をここに記入（DBスペシャリストの判断）</t>
      </text>
    </comment>
  </commentList>
</comments>
</file>

<file path=xl/theme/theme1.xml><?xml version="1.0" encoding="utf-8"?>
<a:theme xmlns:a="http://schemas.openxmlformats.org/drawingml/2006/main" name="Office Theme">
  <a:themeElements>
    <a:clrScheme name="H2O 既存マスタに合わせた色">
      <a:dk1>
        <a:srgbClr val="000000"/>
      </a:dk1>
      <a:lt1>
        <a:sysClr val="window" lastClr="FFFFFF"/>
      </a:lt1>
      <a:dk2>
        <a:srgbClr val="404040"/>
      </a:dk2>
      <a:lt2>
        <a:srgbClr val="EEECE1"/>
      </a:lt2>
      <a:accent1>
        <a:srgbClr val="ACCEFF"/>
      </a:accent1>
      <a:accent2>
        <a:srgbClr val="F891B2"/>
      </a:accent2>
      <a:accent3>
        <a:srgbClr val="76E0FF"/>
      </a:accent3>
      <a:accent4>
        <a:srgbClr val="00345A"/>
      </a:accent4>
      <a:accent5>
        <a:srgbClr val="00C6B9"/>
      </a:accent5>
      <a:accent6>
        <a:srgbClr val="008A5F"/>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6350"/>
      </a:spPr>
      <a:bodyPr vertOverflow="clip" horzOverflow="clip" rtlCol="0" anchor="t"/>
      <a:lstStyle>
        <a:defPPr algn="l">
          <a:defRPr kumimoji="1" sz="1100">
            <a:latin typeface="Meiryo UI" panose="020B0604030504040204" pitchFamily="50" charset="-128"/>
            <a:ea typeface="Meiryo UI" panose="020B0604030504040204" pitchFamily="50" charset="-128"/>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3.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59"/>
  <sheetViews>
    <sheetView showGridLines="0" tabSelected="1" workbookViewId="0">
      <pane ySplit="1" topLeftCell="A2" activePane="bottomLeft" state="frozen"/>
      <selection pane="bottomLeft" activeCell="A2" sqref="A2"/>
    </sheetView>
  </sheetViews>
  <sheetFormatPr baseColWidth="8" defaultColWidth="8.6640625" defaultRowHeight="13.5"/>
  <cols>
    <col width="4" customWidth="1" style="2" min="1" max="1"/>
    <col width="20" customWidth="1" style="4" min="2" max="9"/>
    <col width="13" customWidth="1" style="13" min="3" max="3"/>
    <col width="26" customWidth="1" style="13" min="4" max="4"/>
    <col width="56" customWidth="1" style="13" min="5" max="5"/>
    <col width="11.5" customWidth="1" style="13" min="6" max="6"/>
    <col width="11.5" customWidth="1" style="13" min="7" max="7"/>
    <col width="5.5" customWidth="1" style="13" min="8" max="8"/>
    <col width="28" customWidth="1" style="13" min="9" max="9"/>
    <col width="8.6640625" customWidth="1" style="1" min="10" max="16384"/>
  </cols>
  <sheetData>
    <row r="1">
      <c r="A1" s="10" t="inlineStr">
        <is>
          <t>#</t>
        </is>
      </c>
      <c r="B1" s="11" t="inlineStr">
        <is>
          <t>大分類</t>
        </is>
      </c>
      <c r="C1" s="11" t="inlineStr">
        <is>
          <t>中分類</t>
        </is>
      </c>
      <c r="D1" s="11" t="inlineStr">
        <is>
          <t>小分類</t>
        </is>
      </c>
      <c r="E1" s="11" t="inlineStr">
        <is>
          <t>内容</t>
        </is>
      </c>
      <c r="F1" s="11" t="inlineStr">
        <is>
          <t>開始</t>
        </is>
      </c>
      <c r="G1" s="11" t="inlineStr">
        <is>
          <t>期限</t>
        </is>
      </c>
      <c r="H1" s="11" t="inlineStr">
        <is>
          <t>STS</t>
        </is>
      </c>
      <c r="I1" s="11" t="inlineStr">
        <is>
          <t>備考</t>
        </is>
      </c>
      <c r="J1" s="7" t="inlineStr">
        <is>
          <t>e</t>
        </is>
      </c>
    </row>
    <row r="2">
      <c r="A2" s="6">
        <f>+ROW()-ROW($A$1)</f>
        <v/>
      </c>
      <c r="B2" s="3" t="inlineStr">
        <is>
          <t>P0 Day1 MVP公開</t>
        </is>
      </c>
      <c r="C2" s="3" t="inlineStr">
        <is>
          <t>企画</t>
        </is>
      </c>
      <c r="D2" s="3" t="inlineStr">
        <is>
          <t>Gemini壁打ちの整理</t>
        </is>
      </c>
      <c r="E2" s="3" t="inlineStr">
        <is>
          <t>MVP範囲＝一問一答＋自己採点＋要復習。ログイン・サーバーなし</t>
        </is>
      </c>
      <c r="F2" s="16" t="n">
        <v>46299</v>
      </c>
      <c r="G2" s="16" t="n">
        <v>46299</v>
      </c>
      <c r="H2" s="3" t="inlineStr">
        <is>
          <t>済</t>
        </is>
      </c>
      <c r="I2" s="3" t="inlineStr"/>
      <c r="J2" s="7" t="inlineStr">
        <is>
          <t>e</t>
        </is>
      </c>
    </row>
    <row r="3">
      <c r="A3" s="6">
        <f>+ROW()-ROW($A$1)</f>
        <v/>
      </c>
      <c r="B3" s="3" t="inlineStr">
        <is>
          <t>P0 Day1 MVP公開</t>
        </is>
      </c>
      <c r="C3" s="3" t="inlineStr">
        <is>
          <t>開発</t>
        </is>
      </c>
      <c r="D3" s="3" t="inlineStr">
        <is>
          <t>Next.js雛形作成</t>
        </is>
      </c>
      <c r="E3" s="3" t="inlineStr">
        <is>
          <t>Next.js 16 / TypeScript / Tailwind v4</t>
        </is>
      </c>
      <c r="F3" s="16" t="n">
        <v>46299</v>
      </c>
      <c r="G3" s="16" t="n">
        <v>46299</v>
      </c>
      <c r="H3" s="3" t="inlineStr">
        <is>
          <t>済</t>
        </is>
      </c>
      <c r="I3" s="3" t="inlineStr"/>
      <c r="J3" s="7" t="inlineStr">
        <is>
          <t>e</t>
        </is>
      </c>
    </row>
    <row r="4">
      <c r="A4" s="6">
        <f>+ROW()-ROW($A$1)</f>
        <v/>
      </c>
      <c r="B4" s="3" t="inlineStr">
        <is>
          <t>P0 Day1 MVP公開</t>
        </is>
      </c>
      <c r="C4" s="3" t="inlineStr">
        <is>
          <t>開発</t>
        </is>
      </c>
      <c r="D4" s="3" t="inlineStr">
        <is>
          <t>一問一答UI</t>
        </is>
      </c>
      <c r="E4" s="3" t="inlineStr">
        <is>
          <t>答えを見る→〇△×の自己採点。キーボード操作（Space / 1・2・3 / Esc）</t>
        </is>
      </c>
      <c r="F4" s="16" t="n">
        <v>46299</v>
      </c>
      <c r="G4" s="16" t="n">
        <v>46299</v>
      </c>
      <c r="H4" s="3" t="inlineStr">
        <is>
          <t>済</t>
        </is>
      </c>
      <c r="I4" s="3" t="inlineStr"/>
      <c r="J4" s="7" t="inlineStr">
        <is>
          <t>e</t>
        </is>
      </c>
    </row>
    <row r="5">
      <c r="A5" s="6">
        <f>+ROW()-ROW($A$1)</f>
        <v/>
      </c>
      <c r="B5" s="3" t="inlineStr">
        <is>
          <t>P0 Day1 MVP公開</t>
        </is>
      </c>
      <c r="C5" s="3" t="inlineStr">
        <is>
          <t>開発</t>
        </is>
      </c>
      <c r="D5" s="3" t="inlineStr">
        <is>
          <t>学習記録の保存</t>
        </is>
      </c>
      <c r="E5" s="3" t="inlineStr">
        <is>
          <t>localStorageに問題ごとの最終評価と回数を保存</t>
        </is>
      </c>
      <c r="F5" s="16" t="n">
        <v>46299</v>
      </c>
      <c r="G5" s="16" t="n">
        <v>46299</v>
      </c>
      <c r="H5" s="3" t="inlineStr">
        <is>
          <t>済</t>
        </is>
      </c>
      <c r="I5" s="3" t="inlineStr"/>
      <c r="J5" s="7" t="inlineStr">
        <is>
          <t>e</t>
        </is>
      </c>
    </row>
    <row r="6">
      <c r="A6" s="6">
        <f>+ROW()-ROW($A$1)</f>
        <v/>
      </c>
      <c r="B6" s="3" t="inlineStr">
        <is>
          <t>P0 Day1 MVP公開</t>
        </is>
      </c>
      <c r="C6" s="3" t="inlineStr">
        <is>
          <t>開発</t>
        </is>
      </c>
      <c r="D6" s="3" t="inlineStr">
        <is>
          <t>出題条件・要復習</t>
        </is>
      </c>
      <c r="E6" s="3" t="inlineStr">
        <is>
          <t>分野×難易度×出題モード（全部/未回答/要復習/×のみ）×問題数</t>
        </is>
      </c>
      <c r="F6" s="16" t="n">
        <v>46299</v>
      </c>
      <c r="G6" s="16" t="n">
        <v>46299</v>
      </c>
      <c r="H6" s="3" t="inlineStr">
        <is>
          <t>済</t>
        </is>
      </c>
      <c r="I6" s="3" t="inlineStr"/>
      <c r="J6" s="7" t="inlineStr">
        <is>
          <t>e</t>
        </is>
      </c>
    </row>
    <row r="7">
      <c r="A7" s="6">
        <f>+ROW()-ROW($A$1)</f>
        <v/>
      </c>
      <c r="B7" s="3" t="inlineStr">
        <is>
          <t>P0 Day1 MVP公開</t>
        </is>
      </c>
      <c r="C7" s="3" t="inlineStr">
        <is>
          <t>コンテンツ</t>
        </is>
      </c>
      <c r="D7" s="3" t="inlineStr">
        <is>
          <t>初期問題90問</t>
        </is>
      </c>
      <c r="E7" s="3" t="inlineStr">
        <is>
          <t>歴史36・地理24・政治16・経済14。解説・漢字注意つき</t>
        </is>
      </c>
      <c r="F7" s="16" t="n">
        <v>46299</v>
      </c>
      <c r="G7" s="16" t="n">
        <v>46299</v>
      </c>
      <c r="H7" s="3" t="inlineStr">
        <is>
          <t>済</t>
        </is>
      </c>
      <c r="I7" s="3" t="inlineStr">
        <is>
          <t>保護者が内容チェック</t>
        </is>
      </c>
      <c r="J7" s="7" t="inlineStr">
        <is>
          <t>e</t>
        </is>
      </c>
    </row>
    <row r="8">
      <c r="A8" s="6">
        <f>+ROW()-ROW($A$1)</f>
        <v/>
      </c>
      <c r="B8" s="3" t="inlineStr">
        <is>
          <t>P0 Day1 MVP公開</t>
        </is>
      </c>
      <c r="C8" s="3" t="inlineStr">
        <is>
          <t>運用</t>
        </is>
      </c>
      <c r="D8" s="3" t="inlineStr">
        <is>
          <t>GitHub登録</t>
        </is>
      </c>
      <c r="E8" s="3" t="inlineStr">
        <is>
          <t>github.com/tarooooo-u/shakai</t>
        </is>
      </c>
      <c r="F8" s="16" t="n">
        <v>46299</v>
      </c>
      <c r="G8" s="16" t="n">
        <v>46299</v>
      </c>
      <c r="H8" s="3" t="inlineStr">
        <is>
          <t>済</t>
        </is>
      </c>
      <c r="I8" s="3" t="inlineStr"/>
      <c r="J8" s="7" t="inlineStr">
        <is>
          <t>e</t>
        </is>
      </c>
    </row>
    <row r="9">
      <c r="A9" s="6">
        <f>+ROW()-ROW($A$1)</f>
        <v/>
      </c>
      <c r="B9" s="3" t="inlineStr">
        <is>
          <t>P0 Day1 MVP公開</t>
        </is>
      </c>
      <c r="C9" s="3" t="inlineStr">
        <is>
          <t>運用</t>
        </is>
      </c>
      <c r="D9" s="3" t="inlineStr">
        <is>
          <t>Cloudflare Pagesで公開</t>
        </is>
      </c>
      <c r="E9" s="3" t="inlineStr">
        <is>
          <t>GitHub連携で自動デプロイ（静的書き出し out/）。iPadで確認</t>
        </is>
      </c>
      <c r="F9" s="16" t="n">
        <v>46299</v>
      </c>
      <c r="G9" s="16" t="n">
        <v>46300</v>
      </c>
      <c r="H9" s="3" t="inlineStr">
        <is>
          <t>未</t>
        </is>
      </c>
      <c r="I9" s="3" t="inlineStr">
        <is>
          <t>課題管理表#2</t>
        </is>
      </c>
      <c r="J9" s="7" t="inlineStr">
        <is>
          <t>e</t>
        </is>
      </c>
    </row>
    <row r="10">
      <c r="A10" s="6">
        <f>+ROW()-ROW($A$1)</f>
        <v/>
      </c>
      <c r="B10" s="3" t="inlineStr">
        <is>
          <t>P0 Day1 MVP公開</t>
        </is>
      </c>
      <c r="C10" s="3" t="inlineStr">
        <is>
          <t>コンテンツ</t>
        </is>
      </c>
      <c r="D10" s="3" t="inlineStr">
        <is>
          <t>問題データのCSV化</t>
        </is>
      </c>
      <c r="E10" s="3" t="inlineStr">
        <is>
          <t>content/questions/{history,geography,civics}.csv。ビルド時に検証</t>
        </is>
      </c>
      <c r="F10" s="16" t="n">
        <v>46299</v>
      </c>
      <c r="G10" s="16" t="n">
        <v>46299</v>
      </c>
      <c r="H10" s="3" t="inlineStr">
        <is>
          <t>済</t>
        </is>
      </c>
      <c r="I10" s="3" t="inlineStr">
        <is>
          <t>旧P1から前倒し</t>
        </is>
      </c>
      <c r="J10" s="7" t="inlineStr">
        <is>
          <t>e</t>
        </is>
      </c>
    </row>
    <row r="11">
      <c r="A11" s="6">
        <f>+ROW()-ROW($A$1)</f>
        <v/>
      </c>
      <c r="B11" s="3" t="inlineStr">
        <is>
          <t>P0 Day1 MVP公開</t>
        </is>
      </c>
      <c r="C11" s="3" t="inlineStr">
        <is>
          <t>開発</t>
        </is>
      </c>
      <c r="D11" s="3" t="inlineStr">
        <is>
          <t>単元・テーマで絞り込み</t>
        </is>
      </c>
      <c r="E11" s="3" t="inlineStr">
        <is>
          <t>単元（時代・分野）とタグ（人物・漢字・統計・多答など）</t>
        </is>
      </c>
      <c r="F11" s="16" t="n">
        <v>46299</v>
      </c>
      <c r="G11" s="16" t="n">
        <v>46299</v>
      </c>
      <c r="H11" s="3" t="inlineStr">
        <is>
          <t>済</t>
        </is>
      </c>
      <c r="I11" s="3" t="inlineStr">
        <is>
          <t>ライバル調査より</t>
        </is>
      </c>
      <c r="J11" s="7" t="inlineStr">
        <is>
          <t>e</t>
        </is>
      </c>
    </row>
    <row r="12">
      <c r="A12" s="6">
        <f>+ROW()-ROW($A$1)</f>
        <v/>
      </c>
      <c r="B12" s="3" t="inlineStr">
        <is>
          <t>P0 Day1 MVP公開</t>
        </is>
      </c>
      <c r="C12" s="3" t="inlineStr">
        <is>
          <t>開発</t>
        </is>
      </c>
      <c r="D12" s="3" t="inlineStr">
        <is>
          <t>4択モード</t>
        </is>
      </c>
      <c r="E12" s="3" t="inlineStr">
        <is>
          <t>CSVの誤答選択肢から出題。正解時は「まぐれ（△）」も選べる</t>
        </is>
      </c>
      <c r="F12" s="16" t="n">
        <v>46299</v>
      </c>
      <c r="G12" s="16" t="n">
        <v>46299</v>
      </c>
      <c r="H12" s="3" t="inlineStr">
        <is>
          <t>済</t>
        </is>
      </c>
      <c r="I12" s="3" t="inlineStr">
        <is>
          <t>ライバル調査より</t>
        </is>
      </c>
      <c r="J12" s="7" t="inlineStr">
        <is>
          <t>e</t>
        </is>
      </c>
    </row>
    <row r="13">
      <c r="A13" s="6">
        <f>+ROW()-ROW($A$1)</f>
        <v/>
      </c>
      <c r="B13" s="3" t="inlineStr">
        <is>
          <t>P0 Day1 MVP公開</t>
        </is>
      </c>
      <c r="C13" s="3" t="inlineStr">
        <is>
          <t>開発</t>
        </is>
      </c>
      <c r="D13" s="3" t="inlineStr">
        <is>
          <t>保護者出題用の一覧</t>
        </is>
      </c>
      <c r="E13" s="3" t="inlineStr">
        <is>
          <t>問題と答えの一覧。答えを隠してタップで開く</t>
        </is>
      </c>
      <c r="F13" s="16" t="n">
        <v>46299</v>
      </c>
      <c r="G13" s="16" t="n">
        <v>46299</v>
      </c>
      <c r="H13" s="3" t="inlineStr">
        <is>
          <t>済</t>
        </is>
      </c>
      <c r="I13" s="3" t="inlineStr">
        <is>
          <t>ライバル調査より</t>
        </is>
      </c>
      <c r="J13" s="7" t="inlineStr">
        <is>
          <t>e</t>
        </is>
      </c>
    </row>
    <row r="14">
      <c r="A14" s="6">
        <f>+ROW()-ROW($A$1)</f>
        <v/>
      </c>
      <c r="B14" s="3" t="inlineStr">
        <is>
          <t>P0 Day1 MVP公開</t>
        </is>
      </c>
      <c r="C14" s="3" t="inlineStr">
        <is>
          <t>開発</t>
        </is>
      </c>
      <c r="D14" s="3" t="inlineStr">
        <is>
          <t>条件をURLで共有</t>
        </is>
      </c>
      <c r="E14" s="3" t="inlineStr">
        <is>
          <t>保護者が範囲を選んでURLを子どもに送る</t>
        </is>
      </c>
      <c r="F14" s="16" t="n">
        <v>46299</v>
      </c>
      <c r="G14" s="16" t="n">
        <v>46299</v>
      </c>
      <c r="H14" s="3" t="inlineStr">
        <is>
          <t>済</t>
        </is>
      </c>
      <c r="I14" s="3" t="inlineStr">
        <is>
          <t>ライバル調査より</t>
        </is>
      </c>
      <c r="J14" s="7" t="inlineStr">
        <is>
          <t>e</t>
        </is>
      </c>
    </row>
    <row r="15">
      <c r="A15" s="6">
        <f>+ROW()-ROW($A$1)</f>
        <v/>
      </c>
      <c r="B15" s="3" t="inlineStr">
        <is>
          <t>P0 Day1 MVP公開</t>
        </is>
      </c>
      <c r="C15" s="3" t="inlineStr">
        <is>
          <t>企画</t>
        </is>
      </c>
      <c r="D15" s="3" t="inlineStr">
        <is>
          <t>roadmap・課題管理表作成</t>
        </is>
      </c>
      <c r="E15" s="3" t="inlineStr">
        <is>
          <t>本ファイル</t>
        </is>
      </c>
      <c r="F15" s="16" t="n">
        <v>46299</v>
      </c>
      <c r="G15" s="16" t="n">
        <v>46299</v>
      </c>
      <c r="H15" s="3" t="inlineStr">
        <is>
          <t>済</t>
        </is>
      </c>
      <c r="I15" s="3" t="inlineStr"/>
      <c r="J15" s="7" t="inlineStr">
        <is>
          <t>e</t>
        </is>
      </c>
    </row>
    <row r="16">
      <c r="A16" s="6">
        <f>+ROW()-ROW($A$1)</f>
        <v/>
      </c>
      <c r="B16" s="3" t="inlineStr">
        <is>
          <t>P1 使ってもらう</t>
        </is>
      </c>
      <c r="C16" s="3" t="inlineStr">
        <is>
          <t>開発</t>
        </is>
      </c>
      <c r="D16" s="3" t="inlineStr">
        <is>
          <t>e-Stat APIで統計データ取得</t>
        </is>
      </c>
      <c r="E16" s="3" t="inlineStr">
        <is>
          <t>果物・茶の生産量、漁港別出荷量を取得（npm run stats）。統計問題13問に出典・年を記入</t>
        </is>
      </c>
      <c r="F16" s="16" t="n">
        <v>46299</v>
      </c>
      <c r="G16" s="16" t="n">
        <v>46299</v>
      </c>
      <c r="H16" s="3" t="inlineStr">
        <is>
          <t>済</t>
        </is>
      </c>
      <c r="I16" s="3" t="inlineStr">
        <is>
          <t>2024年産データ</t>
        </is>
      </c>
      <c r="J16" s="7" t="inlineStr">
        <is>
          <t>e</t>
        </is>
      </c>
    </row>
    <row r="17">
      <c r="A17" s="6">
        <f>+ROW()-ROW($A$1)</f>
        <v/>
      </c>
      <c r="B17" s="3" t="inlineStr">
        <is>
          <t>P1 使ってもらう</t>
        </is>
      </c>
      <c r="C17" s="3" t="inlineStr">
        <is>
          <t>開発</t>
        </is>
      </c>
      <c r="D17" s="3" t="inlineStr">
        <is>
          <t>統計データの追加取得</t>
        </is>
      </c>
      <c r="E17" s="3" t="inlineStr">
        <is>
          <t>米・野菜16品目・畜産5種・都道府県人口を追加し、全国1位の統計問題26問</t>
        </is>
      </c>
      <c r="F17" s="16" t="n">
        <v>46300</v>
      </c>
      <c r="G17" s="16" t="n">
        <v>46300</v>
      </c>
      <c r="H17" s="3" t="inlineStr">
        <is>
          <t>済</t>
        </is>
      </c>
      <c r="I17" s="3" t="inlineStr">
        <is>
          <t>工業出荷額は最新の表がAPIにないため未対応（要確認のまま）</t>
        </is>
      </c>
      <c r="J17" s="7" t="inlineStr">
        <is>
          <t>e</t>
        </is>
      </c>
    </row>
    <row r="18">
      <c r="A18" s="6">
        <f>+ROW()-ROW($A$1)</f>
        <v/>
      </c>
      <c r="B18" s="3" t="inlineStr">
        <is>
          <t>P1 使ってもらう</t>
        </is>
      </c>
      <c r="C18" s="3" t="inlineStr">
        <is>
          <t>開発</t>
        </is>
      </c>
      <c r="D18" s="3" t="inlineStr">
        <is>
          <t>写真・絵で答える問題</t>
        </is>
      </c>
      <c r="E18" s="3" t="inlineStr">
        <is>
          <t>Wikimedia Commons の画像34点（建築・美術・人物）で、写真→名前／名前→写真4択の68問。出典ページを自動生成</t>
        </is>
      </c>
      <c r="F18" s="16" t="n">
        <v>46300</v>
      </c>
      <c r="G18" s="16" t="n">
        <v>46300</v>
      </c>
      <c r="H18" s="3" t="inlineStr">
        <is>
          <t>済</t>
        </is>
      </c>
      <c r="I18" s="3" t="inlineStr">
        <is>
          <t>画像は今後も追加（npm run images）</t>
        </is>
      </c>
      <c r="J18" s="7" t="inlineStr">
        <is>
          <t>e</t>
        </is>
      </c>
    </row>
    <row r="19">
      <c r="A19" s="6">
        <f>+ROW()-ROW($A$1)</f>
        <v/>
      </c>
      <c r="B19" s="3" t="inlineStr">
        <is>
          <t>P1 使ってもらう</t>
        </is>
      </c>
      <c r="C19" s="3" t="inlineStr">
        <is>
          <t>開発</t>
        </is>
      </c>
      <c r="D19" s="3" t="inlineStr">
        <is>
          <t>サイドバー（開閉式）</t>
        </is>
      </c>
      <c r="E19" s="3" t="inlineStr">
        <is>
          <t>お気に入り／間違えた問題／歴史・地理・公民／テーマ（漢字・白地図・雨温図・人物）／問題と答えの一覧。PCは縮められる、スマホは重ねて開く。★お気に入り（Fキーでも）</t>
        </is>
      </c>
      <c r="F19" s="16" t="n">
        <v>46299</v>
      </c>
      <c r="G19" s="16" t="n">
        <v>46299</v>
      </c>
      <c r="H19" s="3" t="inlineStr">
        <is>
          <t>済</t>
        </is>
      </c>
      <c r="I19" s="3" t="inlineStr">
        <is>
          <t>優先度：高</t>
        </is>
      </c>
      <c r="J19" s="7" t="inlineStr">
        <is>
          <t>e</t>
        </is>
      </c>
    </row>
    <row r="20">
      <c r="A20" s="6">
        <f>+ROW()-ROW($A$1)</f>
        <v/>
      </c>
      <c r="B20" s="3" t="inlineStr">
        <is>
          <t>P1 使ってもらう</t>
        </is>
      </c>
      <c r="C20" s="3" t="inlineStr">
        <is>
          <t>コンテンツ</t>
        </is>
      </c>
      <c r="D20" s="3" t="inlineStr">
        <is>
          <t>雨温図問題（気象庁の平年値）</t>
        </is>
      </c>
      <c r="E20" s="3" t="inlineStr">
        <is>
          <t>26都市×2問（どの都市か／どの気候区分か）。雨温図はアプリ内でグラフを描画（npm run climate）</t>
        </is>
      </c>
      <c r="F20" s="16" t="n">
        <v>46299</v>
      </c>
      <c r="G20" s="16" t="n">
        <v>46299</v>
      </c>
      <c r="H20" s="3" t="inlineStr">
        <is>
          <t>済</t>
        </is>
      </c>
      <c r="I20" s="3" t="inlineStr">
        <is>
          <t>2020年平年値</t>
        </is>
      </c>
      <c r="J20" s="7" t="inlineStr">
        <is>
          <t>e</t>
        </is>
      </c>
    </row>
    <row r="21">
      <c r="A21" s="6">
        <f>+ROW()-ROW($A$1)</f>
        <v/>
      </c>
      <c r="B21" s="3" t="inlineStr">
        <is>
          <t>P1 使ってもらう</t>
        </is>
      </c>
      <c r="C21" s="3" t="inlineStr">
        <is>
          <t>検証</t>
        </is>
      </c>
      <c r="D21" s="3" t="inlineStr">
        <is>
          <t>息子さんの利用観察</t>
        </is>
      </c>
      <c r="E21" s="3" t="inlineStr">
        <is>
          <t>1日5〜10分。テンポ・操作の不満をメモ→課題管理表へ</t>
        </is>
      </c>
      <c r="F21" s="16" t="n">
        <v>46300</v>
      </c>
      <c r="G21" s="16" t="n">
        <v>46313</v>
      </c>
      <c r="H21" s="3" t="inlineStr">
        <is>
          <t>未</t>
        </is>
      </c>
      <c r="I21" s="3" t="inlineStr"/>
      <c r="J21" s="7" t="inlineStr">
        <is>
          <t>e</t>
        </is>
      </c>
    </row>
    <row r="22">
      <c r="A22" s="6">
        <f>+ROW()-ROW($A$1)</f>
        <v/>
      </c>
      <c r="B22" s="3" t="inlineStr">
        <is>
          <t>P1 使ってもらう</t>
        </is>
      </c>
      <c r="C22" s="3" t="inlineStr">
        <is>
          <t>企画</t>
        </is>
      </c>
      <c r="D22" s="3" t="inlineStr">
        <is>
          <t>ライバルサイト調査</t>
        </is>
      </c>
      <c r="E22" s="3" t="inlineStr">
        <is>
          <t>5サイトの機能を列挙。差別化＝間違えた問題の記録と復習</t>
        </is>
      </c>
      <c r="F22" s="16" t="n">
        <v>46299</v>
      </c>
      <c r="G22" s="16" t="n">
        <v>46299</v>
      </c>
      <c r="H22" s="3" t="inlineStr">
        <is>
          <t>済</t>
        </is>
      </c>
      <c r="I22" s="3" t="inlineStr"/>
      <c r="J22" s="7" t="inlineStr">
        <is>
          <t>e</t>
        </is>
      </c>
    </row>
    <row r="23">
      <c r="A23" s="6">
        <f>+ROW()-ROW($A$1)</f>
        <v/>
      </c>
      <c r="B23" s="3" t="inlineStr">
        <is>
          <t>P1 使ってもらう</t>
        </is>
      </c>
      <c r="C23" s="3" t="inlineStr">
        <is>
          <t>コンテンツ</t>
        </is>
      </c>
      <c r="D23" s="3" t="inlineStr">
        <is>
          <t>問題300問へ</t>
        </is>
      </c>
      <c r="E23" s="3" t="inlineStr">
        <is>
          <t>塾の単元進度・苦手分野から優先。文章は自作</t>
        </is>
      </c>
      <c r="F23" s="16" t="n">
        <v>46299</v>
      </c>
      <c r="G23" s="16" t="n">
        <v>46299</v>
      </c>
      <c r="H23" s="3" t="inlineStr">
        <is>
          <t>済</t>
        </is>
      </c>
      <c r="I23" s="3" t="inlineStr">
        <is>
          <t>白地図問題374問を追加し計464問</t>
        </is>
      </c>
      <c r="J23" s="7" t="inlineStr">
        <is>
          <t>e</t>
        </is>
      </c>
    </row>
    <row r="24">
      <c r="A24" s="6">
        <f>+ROW()-ROW($A$1)</f>
        <v/>
      </c>
      <c r="B24" s="3" t="inlineStr">
        <is>
          <t>P1 使ってもらう</t>
        </is>
      </c>
      <c r="C24" s="3" t="inlineStr">
        <is>
          <t>コンテンツ</t>
        </is>
      </c>
      <c r="D24" s="3" t="inlineStr">
        <is>
          <t>白地図問題の地図座標</t>
        </is>
      </c>
      <c r="E24" s="3" t="inlineStr">
        <is>
          <t>国土地理院の地名検索APIでCSVの地図列（緯度,経度）を埋める。地点ごとに確認しながら</t>
        </is>
      </c>
      <c r="F24" s="16" t="n">
        <v>46314</v>
      </c>
      <c r="G24" s="16" t="n">
        <v>46327</v>
      </c>
      <c r="H24" s="3" t="inlineStr">
        <is>
          <t>未</t>
        </is>
      </c>
      <c r="I24" s="3" t="inlineStr"/>
      <c r="J24" s="7" t="inlineStr">
        <is>
          <t>e</t>
        </is>
      </c>
    </row>
    <row r="25">
      <c r="A25" s="6">
        <f>+ROW()-ROW($A$1)</f>
        <v/>
      </c>
      <c r="B25" s="3" t="inlineStr">
        <is>
          <t>P1 使ってもらう</t>
        </is>
      </c>
      <c r="C25" s="3" t="inlineStr">
        <is>
          <t>開発</t>
        </is>
      </c>
      <c r="D25" s="3" t="inlineStr">
        <is>
          <t>学習記録のバックアップ</t>
        </is>
      </c>
      <c r="E25" s="3" t="inlineStr">
        <is>
          <t>JSONエクスポート/インポート（端末変更・ブラウザ削除対策）</t>
        </is>
      </c>
      <c r="F25" s="16" t="n">
        <v>46307</v>
      </c>
      <c r="G25" s="16" t="n">
        <v>46313</v>
      </c>
      <c r="H25" s="3" t="inlineStr">
        <is>
          <t>未</t>
        </is>
      </c>
      <c r="I25" s="3" t="inlineStr"/>
      <c r="J25" s="7" t="inlineStr">
        <is>
          <t>e</t>
        </is>
      </c>
    </row>
    <row r="26">
      <c r="A26" s="6">
        <f>+ROW()-ROW($A$1)</f>
        <v/>
      </c>
      <c r="B26" s="3" t="inlineStr">
        <is>
          <t>P1 使ってもらう</t>
        </is>
      </c>
      <c r="C26" s="3" t="inlineStr">
        <is>
          <t>開発</t>
        </is>
      </c>
      <c r="D26" s="3" t="inlineStr">
        <is>
          <t>PWA化</t>
        </is>
      </c>
      <c r="E26" s="3" t="inlineStr">
        <is>
          <t>ホーム画面に追加してアプリのように起動</t>
        </is>
      </c>
      <c r="F26" s="16" t="n">
        <v>46307</v>
      </c>
      <c r="G26" s="16" t="n">
        <v>46313</v>
      </c>
      <c r="H26" s="3" t="inlineStr">
        <is>
          <t>未</t>
        </is>
      </c>
      <c r="I26" s="3" t="inlineStr"/>
      <c r="J26" s="7" t="inlineStr">
        <is>
          <t>e</t>
        </is>
      </c>
    </row>
    <row r="27">
      <c r="A27" s="6">
        <f>+ROW()-ROW($A$1)</f>
        <v/>
      </c>
      <c r="B27" s="3" t="inlineStr">
        <is>
          <t>P1 使ってもらう</t>
        </is>
      </c>
      <c r="C27" s="3" t="inlineStr">
        <is>
          <t>開発</t>
        </is>
      </c>
      <c r="D27" s="3" t="inlineStr">
        <is>
          <t>問題の誤り報告</t>
        </is>
      </c>
      <c r="E27" s="3" t="inlineStr">
        <is>
          <t>問題ごとに「おかしい？」ボタン→メモ保存</t>
        </is>
      </c>
      <c r="F27" s="16" t="n">
        <v>46307</v>
      </c>
      <c r="G27" s="16" t="n">
        <v>46313</v>
      </c>
      <c r="H27" s="3" t="inlineStr">
        <is>
          <t>未</t>
        </is>
      </c>
      <c r="I27" s="3" t="inlineStr"/>
      <c r="J27" s="7" t="inlineStr">
        <is>
          <t>e</t>
        </is>
      </c>
    </row>
    <row r="28">
      <c r="A28" s="6">
        <f>+ROW()-ROW($A$1)</f>
        <v/>
      </c>
      <c r="B28" s="3" t="inlineStr">
        <is>
          <t>P2 最難関対策の強化</t>
        </is>
      </c>
      <c r="C28" s="3" t="inlineStr">
        <is>
          <t>開発</t>
        </is>
      </c>
      <c r="D28" s="3" t="inlineStr">
        <is>
          <t>入力式（漢字で書く）モード</t>
        </is>
      </c>
      <c r="E28" s="3" t="inlineStr">
        <is>
          <t>自己採点の甘さ対策。表記ゆれは別解リストで判定</t>
        </is>
      </c>
      <c r="F28" s="16" t="n">
        <v>46314</v>
      </c>
      <c r="G28" s="16" t="n">
        <v>46327</v>
      </c>
      <c r="H28" s="3" t="inlineStr">
        <is>
          <t>未</t>
        </is>
      </c>
      <c r="I28" s="3" t="inlineStr"/>
      <c r="J28" s="7" t="inlineStr">
        <is>
          <t>e</t>
        </is>
      </c>
    </row>
    <row r="29">
      <c r="A29" s="6">
        <f>+ROW()-ROW($A$1)</f>
        <v/>
      </c>
      <c r="B29" s="3" t="inlineStr">
        <is>
          <t>P2 最難関対策の強化</t>
        </is>
      </c>
      <c r="C29" s="3" t="inlineStr">
        <is>
          <t>開発</t>
        </is>
      </c>
      <c r="D29" s="3" t="inlineStr">
        <is>
          <t>年号の一問一答</t>
        </is>
      </c>
      <c r="E29" s="3" t="inlineStr">
        <is>
          <t>「出来事→何年？」「○年→何が起きた？」の両方向。年表CSV（年・出来事・単元）から自動で問題を作る案</t>
        </is>
      </c>
      <c r="F29" s="16" t="n">
        <v>46314</v>
      </c>
      <c r="G29" s="16" t="n">
        <v>46327</v>
      </c>
      <c r="H29" s="3" t="inlineStr">
        <is>
          <t>未</t>
        </is>
      </c>
      <c r="I29" s="3" t="inlineStr">
        <is>
          <t>年代並べ替えと同じデータを使える</t>
        </is>
      </c>
      <c r="J29" s="7" t="inlineStr">
        <is>
          <t>e</t>
        </is>
      </c>
    </row>
    <row r="30">
      <c r="A30" s="6">
        <f>+ROW()-ROW($A$1)</f>
        <v/>
      </c>
      <c r="B30" s="3" t="inlineStr">
        <is>
          <t>P2 最難関対策の強化</t>
        </is>
      </c>
      <c r="C30" s="3" t="inlineStr">
        <is>
          <t>開発</t>
        </is>
      </c>
      <c r="D30" s="3" t="inlineStr">
        <is>
          <t>年代並べ替え問題</t>
        </is>
      </c>
      <c r="E30" s="3" t="inlineStr">
        <is>
          <t>出来事を古い順に並べる形式</t>
        </is>
      </c>
      <c r="F30" s="16" t="n">
        <v>46314</v>
      </c>
      <c r="G30" s="16" t="n">
        <v>46327</v>
      </c>
      <c r="H30" s="3" t="inlineStr">
        <is>
          <t>未</t>
        </is>
      </c>
      <c r="I30" s="3" t="inlineStr"/>
      <c r="J30" s="7" t="inlineStr">
        <is>
          <t>e</t>
        </is>
      </c>
    </row>
    <row r="31">
      <c r="A31" s="6">
        <f>+ROW()-ROW($A$1)</f>
        <v/>
      </c>
      <c r="B31" s="3" t="inlineStr">
        <is>
          <t>P2 最難関対策の強化</t>
        </is>
      </c>
      <c r="C31" s="3" t="inlineStr">
        <is>
          <t>開発</t>
        </is>
      </c>
      <c r="D31" s="3" t="inlineStr">
        <is>
          <t>正誤判定問題</t>
        </is>
      </c>
      <c r="E31" s="3" t="inlineStr">
        <is>
          <t>「誤っているものを選べ」形式。条件読み飛ばし対策</t>
        </is>
      </c>
      <c r="F31" s="16" t="n">
        <v>46328</v>
      </c>
      <c r="G31" s="16" t="n">
        <v>46343</v>
      </c>
      <c r="H31" s="3" t="inlineStr">
        <is>
          <t>未</t>
        </is>
      </c>
      <c r="I31" s="3" t="inlineStr"/>
      <c r="J31" s="7" t="inlineStr">
        <is>
          <t>e</t>
        </is>
      </c>
    </row>
    <row r="32">
      <c r="A32" s="6">
        <f>+ROW()-ROW($A$1)</f>
        <v/>
      </c>
      <c r="B32" s="3" t="inlineStr">
        <is>
          <t>P2 最難関対策の強化</t>
        </is>
      </c>
      <c r="C32" s="3" t="inlineStr">
        <is>
          <t>開発</t>
        </is>
      </c>
      <c r="D32" s="3" t="inlineStr">
        <is>
          <t>図表・資料問題</t>
        </is>
      </c>
      <c r="E32" s="3" t="inlineStr">
        <is>
          <t>雨温図・地形図・統計グラフ・史料の画像を問題に表示</t>
        </is>
      </c>
      <c r="F32" s="16" t="n">
        <v>46328</v>
      </c>
      <c r="G32" s="16" t="n">
        <v>46343</v>
      </c>
      <c r="H32" s="3" t="inlineStr">
        <is>
          <t>未</t>
        </is>
      </c>
      <c r="I32" s="3" t="inlineStr">
        <is>
          <t>画像列は実装済</t>
        </is>
      </c>
      <c r="J32" s="7" t="inlineStr">
        <is>
          <t>e</t>
        </is>
      </c>
    </row>
    <row r="33">
      <c r="A33" s="6">
        <f>+ROW()-ROW($A$1)</f>
        <v/>
      </c>
      <c r="B33" s="3" t="inlineStr">
        <is>
          <t>P2 最難関対策の強化</t>
        </is>
      </c>
      <c r="C33" s="3" t="inlineStr">
        <is>
          <t>開発</t>
        </is>
      </c>
      <c r="D33" s="3" t="inlineStr">
        <is>
          <t>地図で学ぶ地理</t>
        </is>
      </c>
      <c r="E33" s="3" t="inlineStr">
        <is>
          <t>地図上のピンで場所を答える・問題の場所を地図で見る。地理院地図＋Leaflet（無料）を第一候補</t>
        </is>
      </c>
      <c r="F33" s="16" t="n">
        <v>46328</v>
      </c>
      <c r="G33" s="16" t="n">
        <v>46343</v>
      </c>
      <c r="H33" s="3" t="inlineStr">
        <is>
          <t>未</t>
        </is>
      </c>
      <c r="I33" s="3" t="inlineStr">
        <is>
          <t>CSVの地図列は実装済</t>
        </is>
      </c>
      <c r="J33" s="7" t="inlineStr">
        <is>
          <t>e</t>
        </is>
      </c>
    </row>
    <row r="34">
      <c r="A34" s="6">
        <f>+ROW()-ROW($A$1)</f>
        <v/>
      </c>
      <c r="B34" s="3" t="inlineStr">
        <is>
          <t>P2 最難関対策の強化</t>
        </is>
      </c>
      <c r="C34" s="3" t="inlineStr">
        <is>
          <t>開発</t>
        </is>
      </c>
      <c r="D34" s="3" t="inlineStr">
        <is>
          <t>漢字・人物などの軸で参照</t>
        </is>
      </c>
      <c r="E34" s="3" t="inlineStr">
        <is>
          <t>テーマ別の一覧ページ（漢字が難しい問題、人物別など）</t>
        </is>
      </c>
      <c r="F34" s="16" t="n">
        <v>46314</v>
      </c>
      <c r="G34" s="16" t="n">
        <v>46327</v>
      </c>
      <c r="H34" s="3" t="inlineStr">
        <is>
          <t>未</t>
        </is>
      </c>
      <c r="I34" s="3" t="inlineStr">
        <is>
          <t>絞り込みは実装済</t>
        </is>
      </c>
      <c r="J34" s="7" t="inlineStr">
        <is>
          <t>e</t>
        </is>
      </c>
    </row>
    <row r="35">
      <c r="A35" s="6">
        <f>+ROW()-ROW($A$1)</f>
        <v/>
      </c>
      <c r="B35" s="3" t="inlineStr">
        <is>
          <t>P2 最難関対策の強化</t>
        </is>
      </c>
      <c r="C35" s="3" t="inlineStr">
        <is>
          <t>開発</t>
        </is>
      </c>
      <c r="D35" s="3" t="inlineStr">
        <is>
          <t>間違い理由タグ</t>
        </is>
      </c>
      <c r="E35" s="3" t="inlineStr">
        <is>
          <t>ド忘れ／漢字ミス／読み飛ばし などを記録し傾向を表示</t>
        </is>
      </c>
      <c r="F35" s="16" t="n">
        <v>46328</v>
      </c>
      <c r="G35" s="16" t="n">
        <v>46343</v>
      </c>
      <c r="H35" s="3" t="inlineStr">
        <is>
          <t>未</t>
        </is>
      </c>
      <c r="I35" s="3" t="inlineStr"/>
      <c r="J35" s="7" t="inlineStr">
        <is>
          <t>e</t>
        </is>
      </c>
    </row>
    <row r="36">
      <c r="A36" s="6">
        <f>+ROW()-ROW($A$1)</f>
        <v/>
      </c>
      <c r="B36" s="3" t="inlineStr">
        <is>
          <t>P2 最難関対策の強化</t>
        </is>
      </c>
      <c r="C36" s="3" t="inlineStr">
        <is>
          <t>開発</t>
        </is>
      </c>
      <c r="D36" s="3" t="inlineStr">
        <is>
          <t>復習タイミングの自動化</t>
        </is>
      </c>
      <c r="E36" s="3" t="inlineStr">
        <is>
          <t>忘却曲線ベースで「今日復習すべき問題」を出す</t>
        </is>
      </c>
      <c r="F36" s="16" t="n">
        <v>46328</v>
      </c>
      <c r="G36" s="16" t="n">
        <v>46343</v>
      </c>
      <c r="H36" s="3" t="inlineStr">
        <is>
          <t>未</t>
        </is>
      </c>
      <c r="I36" s="3" t="inlineStr"/>
      <c r="J36" s="7" t="inlineStr">
        <is>
          <t>e</t>
        </is>
      </c>
    </row>
    <row r="37">
      <c r="A37" s="6">
        <f>+ROW()-ROW($A$1)</f>
        <v/>
      </c>
      <c r="B37" s="3" t="inlineStr">
        <is>
          <t>P2 最難関対策の強化</t>
        </is>
      </c>
      <c r="C37" s="3" t="inlineStr">
        <is>
          <t>コンテンツ</t>
        </is>
      </c>
      <c r="D37" s="3" t="inlineStr">
        <is>
          <t>世界の生産量ランキング</t>
        </is>
      </c>
      <c r="E37" s="3" t="inlineStr">
        <is>
          <t>FAOSTAT（国連食糧農業機関）のデータで、小麦・米・とうもろこし・大豆などの生産国ランキング問題を作る</t>
        </is>
      </c>
      <c r="F37" s="16" t="n">
        <v>46328</v>
      </c>
      <c r="G37" s="16" t="n">
        <v>46343</v>
      </c>
      <c r="H37" s="3" t="inlineStr">
        <is>
          <t>未</t>
        </is>
      </c>
      <c r="I37" s="3" t="inlineStr">
        <is>
          <t>一括ダウンロードは登録不要</t>
        </is>
      </c>
      <c r="J37" s="7" t="inlineStr">
        <is>
          <t>e</t>
        </is>
      </c>
    </row>
    <row r="38">
      <c r="A38" s="6">
        <f>+ROW()-ROW($A$1)</f>
        <v/>
      </c>
      <c r="B38" s="3" t="inlineStr">
        <is>
          <t>P2 最難関対策の強化</t>
        </is>
      </c>
      <c r="C38" s="3" t="inlineStr">
        <is>
          <t>開発</t>
        </is>
      </c>
      <c r="D38" s="3" t="inlineStr">
        <is>
          <t>写真問題の選択肢を意味のあるものに</t>
        </is>
      </c>
      <c r="E38" s="3" t="inlineStr">
        <is>
          <t>今は同じ種類（建築・美術・人物）からランダム。寺院どうし・城どうし・同じ時代どうしなど、まぎらわしいものを選ぶようにする（例：平等院鳳凰堂なら中尊寺金色堂・金閣・銀閣）</t>
        </is>
      </c>
      <c r="F38" s="16" t="n">
        <v>46314</v>
      </c>
      <c r="G38" s="16" t="n">
        <v>46327</v>
      </c>
      <c r="H38" s="3" t="inlineStr">
        <is>
          <t>未</t>
        </is>
      </c>
      <c r="I38" s="3" t="inlineStr">
        <is>
          <t>ユーザー指摘：鳳凰堂の選択肢に吉野ヶ里遺跡が出るのはおかしい</t>
        </is>
      </c>
      <c r="J38" s="7" t="inlineStr">
        <is>
          <t>e</t>
        </is>
      </c>
    </row>
    <row r="39">
      <c r="A39" s="6">
        <f>+ROW()-ROW($A$1)</f>
        <v/>
      </c>
      <c r="B39" s="3" t="inlineStr">
        <is>
          <t>P2 最難関対策の強化</t>
        </is>
      </c>
      <c r="C39" s="3" t="inlineStr">
        <is>
          <t>コンテンツ</t>
        </is>
      </c>
      <c r="D39" s="3" t="inlineStr">
        <is>
          <t>問題600問へ</t>
        </is>
      </c>
      <c r="E39" s="3" t="inlineStr">
        <is>
          <t>統計問題には出典年を持たせる</t>
        </is>
      </c>
      <c r="F39" s="16" t="n">
        <v>46314</v>
      </c>
      <c r="G39" s="16" t="n">
        <v>46343</v>
      </c>
      <c r="H39" s="3" t="inlineStr">
        <is>
          <t>未</t>
        </is>
      </c>
      <c r="I39" s="3" t="inlineStr"/>
      <c r="J39" s="7" t="inlineStr">
        <is>
          <t>e</t>
        </is>
      </c>
    </row>
    <row r="40">
      <c r="A40" s="6">
        <f>+ROW()-ROW($A$1)</f>
        <v/>
      </c>
      <c r="B40" s="3" t="inlineStr">
        <is>
          <t>P3 直前期</t>
        </is>
      </c>
      <c r="C40" s="3" t="inlineStr">
        <is>
          <t>コンテンツ</t>
        </is>
      </c>
      <c r="D40" s="3" t="inlineStr">
        <is>
          <t>時事問題（2026年）</t>
        </is>
      </c>
      <c r="E40" s="3" t="inlineStr">
        <is>
          <t>その年の時事は入試頻出。11月〜12月に集中整備</t>
        </is>
      </c>
      <c r="F40" s="16" t="n">
        <v>46344</v>
      </c>
      <c r="G40" s="16" t="n">
        <v>46373</v>
      </c>
      <c r="H40" s="3" t="inlineStr">
        <is>
          <t>未</t>
        </is>
      </c>
      <c r="I40" s="3" t="inlineStr"/>
      <c r="J40" s="7" t="inlineStr">
        <is>
          <t>e</t>
        </is>
      </c>
    </row>
    <row r="41">
      <c r="A41" s="6">
        <f>+ROW()-ROW($A$1)</f>
        <v/>
      </c>
      <c r="B41" s="3" t="inlineStr">
        <is>
          <t>P3 直前期</t>
        </is>
      </c>
      <c r="C41" s="3" t="inlineStr">
        <is>
          <t>開発</t>
        </is>
      </c>
      <c r="D41" s="3" t="inlineStr">
        <is>
          <t>記述問題特訓</t>
        </is>
      </c>
      <c r="E41" s="3" t="inlineStr">
        <is>
          <t>模範解答＋採点ポイントのチェックリストで自己採点。専用CSV（記述.csv）</t>
        </is>
      </c>
      <c r="F41" s="16" t="n">
        <v>46344</v>
      </c>
      <c r="G41" s="16" t="n">
        <v>46373</v>
      </c>
      <c r="H41" s="3" t="inlineStr">
        <is>
          <t>未</t>
        </is>
      </c>
      <c r="I41" s="3" t="inlineStr"/>
      <c r="J41" s="7" t="inlineStr">
        <is>
          <t>e</t>
        </is>
      </c>
    </row>
    <row r="42">
      <c r="A42" s="6">
        <f>+ROW()-ROW($A$1)</f>
        <v/>
      </c>
      <c r="B42" s="3" t="inlineStr">
        <is>
          <t>P3 直前期</t>
        </is>
      </c>
      <c r="C42" s="3" t="inlineStr">
        <is>
          <t>開発</t>
        </is>
      </c>
      <c r="D42" s="3" t="inlineStr">
        <is>
          <t>人物相関図</t>
        </is>
      </c>
      <c r="E42" s="3" t="inlineStr">
        <is>
          <t>人物CSV＋関係CSVから図を生成。問題から人物へジャンプ</t>
        </is>
      </c>
      <c r="F42" s="16" t="n">
        <v>46344</v>
      </c>
      <c r="G42" s="16" t="n">
        <v>46373</v>
      </c>
      <c r="H42" s="3" t="inlineStr">
        <is>
          <t>未</t>
        </is>
      </c>
      <c r="I42" s="3" t="inlineStr"/>
      <c r="J42" s="7" t="inlineStr">
        <is>
          <t>e</t>
        </is>
      </c>
    </row>
    <row r="43">
      <c r="A43" s="6">
        <f>+ROW()-ROW($A$1)</f>
        <v/>
      </c>
      <c r="B43" s="3" t="inlineStr">
        <is>
          <t>P3 直前期</t>
        </is>
      </c>
      <c r="C43" s="3" t="inlineStr">
        <is>
          <t>開発</t>
        </is>
      </c>
      <c r="D43" s="3" t="inlineStr">
        <is>
          <t>まとめカード</t>
        </is>
      </c>
      <c r="E43" s="3" t="inlineStr">
        <is>
          <t>年表・政治のしくみ図など</t>
        </is>
      </c>
      <c r="F43" s="16" t="n">
        <v>46344</v>
      </c>
      <c r="G43" s="16" t="n">
        <v>46373</v>
      </c>
      <c r="H43" s="3" t="inlineStr">
        <is>
          <t>未</t>
        </is>
      </c>
      <c r="I43" s="3" t="inlineStr"/>
      <c r="J43" s="7" t="inlineStr">
        <is>
          <t>e</t>
        </is>
      </c>
    </row>
    <row r="44">
      <c r="A44" s="6">
        <f>+ROW()-ROW($A$1)</f>
        <v/>
      </c>
      <c r="B44" s="3" t="inlineStr">
        <is>
          <t>P3 直前期</t>
        </is>
      </c>
      <c r="C44" s="3" t="inlineStr">
        <is>
          <t>開発</t>
        </is>
      </c>
      <c r="D44" s="3" t="inlineStr">
        <is>
          <t>弱点ダッシュボード</t>
        </is>
      </c>
      <c r="E44" s="3" t="inlineStr">
        <is>
          <t>分野・時代・単元ごとの正答率</t>
        </is>
      </c>
      <c r="F44" s="16" t="n">
        <v>46344</v>
      </c>
      <c r="G44" s="16" t="n">
        <v>46373</v>
      </c>
      <c r="H44" s="3" t="inlineStr">
        <is>
          <t>未</t>
        </is>
      </c>
      <c r="I44" s="3" t="inlineStr"/>
      <c r="J44" s="7" t="inlineStr">
        <is>
          <t>e</t>
        </is>
      </c>
    </row>
    <row r="45">
      <c r="A45" s="6">
        <f>+ROW()-ROW($A$1)</f>
        <v/>
      </c>
      <c r="B45" s="3" t="inlineStr">
        <is>
          <t>P3 直前期</t>
        </is>
      </c>
      <c r="C45" s="3" t="inlineStr">
        <is>
          <t>コンテンツ</t>
        </is>
      </c>
      <c r="D45" s="3" t="inlineStr">
        <is>
          <t>問題1000問へ</t>
        </is>
      </c>
      <c r="E45" s="3" t="inlineStr"/>
      <c r="F45" s="16" t="n">
        <v>46344</v>
      </c>
      <c r="G45" s="16" t="n">
        <v>46373</v>
      </c>
      <c r="H45" s="3" t="inlineStr">
        <is>
          <t>未</t>
        </is>
      </c>
      <c r="I45" s="3" t="inlineStr"/>
      <c r="J45" s="7" t="inlineStr">
        <is>
          <t>e</t>
        </is>
      </c>
    </row>
    <row r="46">
      <c r="A46" s="6">
        <f>+ROW()-ROW($A$1)</f>
        <v/>
      </c>
      <c r="B46" s="3" t="inlineStr">
        <is>
          <t>P4 仕上げ</t>
        </is>
      </c>
      <c r="C46" s="3" t="inlineStr">
        <is>
          <t>開発</t>
        </is>
      </c>
      <c r="D46" s="3" t="inlineStr">
        <is>
          <t>総復習モード</t>
        </is>
      </c>
      <c r="E46" s="3" t="inlineStr">
        <is>
          <t>△×と最近間違えた問題を毎日自動で出題</t>
        </is>
      </c>
      <c r="F46" s="16" t="n">
        <v>46374</v>
      </c>
      <c r="G46" s="16" t="n">
        <v>46389</v>
      </c>
      <c r="H46" s="3" t="inlineStr">
        <is>
          <t>未</t>
        </is>
      </c>
      <c r="I46" s="3" t="inlineStr"/>
      <c r="J46" s="7" t="inlineStr">
        <is>
          <t>e</t>
        </is>
      </c>
    </row>
    <row r="47">
      <c r="A47" s="6">
        <f>+ROW()-ROW($A$1)</f>
        <v/>
      </c>
      <c r="B47" s="3" t="inlineStr">
        <is>
          <t>P4 仕上げ</t>
        </is>
      </c>
      <c r="C47" s="3" t="inlineStr">
        <is>
          <t>運用</t>
        </is>
      </c>
      <c r="D47" s="3" t="inlineStr">
        <is>
          <t>バグ修正・安定化</t>
        </is>
      </c>
      <c r="E47" s="3" t="inlineStr">
        <is>
          <t>入試直前は新機能より安定を優先</t>
        </is>
      </c>
      <c r="F47" s="16" t="n">
        <v>46374</v>
      </c>
      <c r="G47" s="16" t="n">
        <v>46389</v>
      </c>
      <c r="H47" s="3" t="inlineStr">
        <is>
          <t>未</t>
        </is>
      </c>
      <c r="I47" s="3" t="inlineStr"/>
      <c r="J47" s="7" t="inlineStr">
        <is>
          <t>e</t>
        </is>
      </c>
    </row>
    <row r="48">
      <c r="A48" s="6">
        <f>+ROW()-ROW($A$1)</f>
        <v/>
      </c>
      <c r="B48" s="3" t="inlineStr">
        <is>
          <t>P4 仕上げ</t>
        </is>
      </c>
      <c r="C48" s="3" t="inlineStr">
        <is>
          <t>企画</t>
        </is>
      </c>
      <c r="D48" s="3" t="inlineStr">
        <is>
          <t>90日MVP完了</t>
        </is>
      </c>
      <c r="E48" s="3" t="inlineStr">
        <is>
          <t>Day90</t>
        </is>
      </c>
      <c r="F48" s="16" t="n">
        <v>46389</v>
      </c>
      <c r="G48" s="16" t="n">
        <v>46389</v>
      </c>
      <c r="H48" s="3" t="inlineStr">
        <is>
          <t>未</t>
        </is>
      </c>
      <c r="I48" s="3" t="inlineStr"/>
      <c r="J48" s="7" t="inlineStr">
        <is>
          <t>e</t>
        </is>
      </c>
    </row>
    <row r="49">
      <c r="A49" s="6">
        <f>+ROW()-ROW($A$1)</f>
        <v/>
      </c>
      <c r="B49" s="3" t="inlineStr">
        <is>
          <t>P4 仕上げ</t>
        </is>
      </c>
      <c r="C49" s="3" t="inlineStr">
        <is>
          <t>マイルストーン</t>
        </is>
      </c>
      <c r="D49" s="3" t="inlineStr">
        <is>
          <t>入試本番</t>
        </is>
      </c>
      <c r="E49" s="3" t="inlineStr"/>
      <c r="F49" s="16" t="n">
        <v>46419</v>
      </c>
      <c r="G49" s="16" t="n">
        <v>46419</v>
      </c>
      <c r="H49" s="3" t="inlineStr">
        <is>
          <t>未</t>
        </is>
      </c>
      <c r="I49" s="3" t="inlineStr">
        <is>
          <t>2月以降は機能追加を止める</t>
        </is>
      </c>
      <c r="J49" s="7" t="inlineStr">
        <is>
          <t>e</t>
        </is>
      </c>
    </row>
    <row r="50">
      <c r="A50" s="6">
        <f>+ROW()-ROW($A$1)</f>
        <v/>
      </c>
      <c r="B50" s="3" t="inlineStr">
        <is>
          <t>P5 一般公開・収益化</t>
        </is>
      </c>
      <c r="C50" s="3" t="inlineStr">
        <is>
          <t>開発</t>
        </is>
      </c>
      <c r="D50" s="3" t="inlineStr">
        <is>
          <t>Cloudflare Workersへ移行</t>
        </is>
      </c>
      <c r="E50" s="3" t="inlineStr">
        <is>
          <t>静的書き出し→@opennextjs/cloudflare。サーバー処理を可能に</t>
        </is>
      </c>
      <c r="F50" s="16" t="n">
        <v>46433</v>
      </c>
      <c r="G50" s="16" t="n">
        <v>46446</v>
      </c>
      <c r="H50" s="3" t="inlineStr">
        <is>
          <t>未</t>
        </is>
      </c>
      <c r="I50" s="3" t="inlineStr"/>
      <c r="J50" s="7" t="inlineStr">
        <is>
          <t>e</t>
        </is>
      </c>
    </row>
    <row r="51">
      <c r="A51" s="6">
        <f>+ROW()-ROW($A$1)</f>
        <v/>
      </c>
      <c r="B51" s="3" t="inlineStr">
        <is>
          <t>P5 一般公開・収益化</t>
        </is>
      </c>
      <c r="C51" s="3" t="inlineStr">
        <is>
          <t>企画</t>
        </is>
      </c>
      <c r="D51" s="3" t="inlineStr">
        <is>
          <t>サーバー設計の決定</t>
        </is>
      </c>
      <c r="E51" s="3" t="inlineStr">
        <is>
          <t>アカウントのモデル・学習記録の持ち方・RLS・課金の表など（シート「サーバー設計」）。Claudeが DDL と RLS の叩き台を作り、決定は本人</t>
        </is>
      </c>
      <c r="F51" s="16" t="n">
        <v>46420</v>
      </c>
      <c r="G51" s="16" t="n">
        <v>46432</v>
      </c>
      <c r="H51" s="3" t="inlineStr">
        <is>
          <t>未</t>
        </is>
      </c>
      <c r="I51" s="3" t="inlineStr">
        <is>
          <t>DBスペシャリストとして判断</t>
        </is>
      </c>
      <c r="J51" s="7" t="inlineStr">
        <is>
          <t>e</t>
        </is>
      </c>
    </row>
    <row r="52">
      <c r="A52" s="6">
        <f>+ROW()-ROW($A$1)</f>
        <v/>
      </c>
      <c r="B52" s="3" t="inlineStr">
        <is>
          <t>P5 一般公開・収益化</t>
        </is>
      </c>
      <c r="C52" s="3" t="inlineStr">
        <is>
          <t>開発</t>
        </is>
      </c>
      <c r="D52" s="3" t="inlineStr">
        <is>
          <t>ログイン・端末間同期</t>
        </is>
      </c>
      <c r="E52" s="3" t="inlineStr">
        <is>
          <t>Supabase（PostgreSQL＋認証＋RLS）を第一候補。保護者アカウント＋子どもプロフィール。費用はシート「費用見積」</t>
        </is>
      </c>
      <c r="F52" s="16" t="n">
        <v>46433</v>
      </c>
      <c r="G52" s="16" t="n">
        <v>46477</v>
      </c>
      <c r="H52" s="3" t="inlineStr">
        <is>
          <t>未</t>
        </is>
      </c>
      <c r="I52" s="3" t="inlineStr"/>
      <c r="J52" s="7" t="inlineStr">
        <is>
          <t>e</t>
        </is>
      </c>
    </row>
    <row r="53">
      <c r="A53" s="6">
        <f>+ROW()-ROW($A$1)</f>
        <v/>
      </c>
      <c r="B53" s="3" t="inlineStr">
        <is>
          <t>P5 一般公開・収益化</t>
        </is>
      </c>
      <c r="C53" s="3" t="inlineStr">
        <is>
          <t>事業</t>
        </is>
      </c>
      <c r="D53" s="3" t="inlineStr">
        <is>
          <t>料金設計・課金</t>
        </is>
      </c>
      <c r="E53" s="3" t="inlineStr">
        <is>
          <t>無料枠＋有料（問題数・分析）。Stripe</t>
        </is>
      </c>
      <c r="F53" s="16" t="n">
        <v>46433</v>
      </c>
      <c r="G53" s="16" t="n">
        <v>46477</v>
      </c>
      <c r="H53" s="3" t="inlineStr">
        <is>
          <t>未</t>
        </is>
      </c>
      <c r="I53" s="3" t="inlineStr"/>
      <c r="J53" s="7" t="inlineStr">
        <is>
          <t>e</t>
        </is>
      </c>
    </row>
    <row r="54">
      <c r="A54" s="6">
        <f>+ROW()-ROW($A$1)</f>
        <v/>
      </c>
      <c r="B54" s="3" t="inlineStr">
        <is>
          <t>P5 一般公開・収益化</t>
        </is>
      </c>
      <c r="C54" s="3" t="inlineStr">
        <is>
          <t>事業</t>
        </is>
      </c>
      <c r="D54" s="3" t="inlineStr">
        <is>
          <t>利用規約・プライバシーポリシー</t>
        </is>
      </c>
      <c r="E54" s="3" t="inlineStr">
        <is>
          <t>子ども向けサービスのため保護者同意を前提に</t>
        </is>
      </c>
      <c r="F54" s="16" t="n">
        <v>46433</v>
      </c>
      <c r="G54" s="16" t="n">
        <v>46477</v>
      </c>
      <c r="H54" s="3" t="inlineStr">
        <is>
          <t>未</t>
        </is>
      </c>
      <c r="I54" s="3" t="inlineStr"/>
      <c r="J54" s="7" t="inlineStr">
        <is>
          <t>e</t>
        </is>
      </c>
    </row>
    <row r="55">
      <c r="A55" s="6">
        <f>+ROW()-ROW($A$1)</f>
        <v/>
      </c>
      <c r="B55" s="3" t="inlineStr">
        <is>
          <t>P5 一般公開・収益化</t>
        </is>
      </c>
      <c r="C55" s="3" t="inlineStr">
        <is>
          <t>事業</t>
        </is>
      </c>
      <c r="D55" s="3" t="inlineStr">
        <is>
          <t>独自ドメイン・集客</t>
        </is>
      </c>
      <c r="E55" s="3" t="inlineStr">
        <is>
          <t>SEO・塾ママ/パパ向けSNS</t>
        </is>
      </c>
      <c r="F55" s="16" t="n">
        <v>46433</v>
      </c>
      <c r="G55" s="16" t="n">
        <v>46477</v>
      </c>
      <c r="H55" s="3" t="inlineStr">
        <is>
          <t>未</t>
        </is>
      </c>
      <c r="I55" s="3" t="inlineStr"/>
      <c r="J55" s="7" t="inlineStr">
        <is>
          <t>e</t>
        </is>
      </c>
    </row>
    <row r="56">
      <c r="A56" s="6">
        <f>+ROW()-ROW($A$1)</f>
        <v/>
      </c>
      <c r="B56" s="3" t="inlineStr">
        <is>
          <t>P5 一般公開・収益化</t>
        </is>
      </c>
      <c r="C56" s="3" t="inlineStr">
        <is>
          <t>運用</t>
        </is>
      </c>
      <c r="D56" s="3" t="inlineStr">
        <is>
          <t>独自ドメイン移行時のAPI設定</t>
        </is>
      </c>
      <c r="E56" s="3" t="inlineStr">
        <is>
          <t>e-StatのアプリIDは今のCloudflare無料ドメインで登録済み。独自ドメインに移るとき、登録URLの変更（必要なら再発行）と.env.local・Cloudflareの環境変数の更新</t>
        </is>
      </c>
      <c r="F56" s="16" t="n">
        <v>46433</v>
      </c>
      <c r="G56" s="16" t="n">
        <v>46477</v>
      </c>
      <c r="H56" s="3" t="inlineStr">
        <is>
          <t>未</t>
        </is>
      </c>
      <c r="I56" s="3" t="inlineStr">
        <is>
          <t>e-Statはマイページで名称・URLを後から変更できる</t>
        </is>
      </c>
      <c r="J56" s="7" t="inlineStr">
        <is>
          <t>e</t>
        </is>
      </c>
    </row>
    <row r="57">
      <c r="A57" s="6">
        <f>+ROW()-ROW($A$1)</f>
        <v/>
      </c>
      <c r="B57" s="3" t="inlineStr">
        <is>
          <t>P5 一般公開・収益化</t>
        </is>
      </c>
      <c r="C57" s="3" t="inlineStr">
        <is>
          <t>開発</t>
        </is>
      </c>
      <c r="D57" s="3" t="inlineStr">
        <is>
          <t>保護者ダッシュボード</t>
        </is>
      </c>
      <c r="E57" s="3" t="inlineStr">
        <is>
          <t>学習時間・弱点を保護者が確認</t>
        </is>
      </c>
      <c r="F57" s="16" t="n">
        <v>46447</v>
      </c>
      <c r="G57" s="16" t="n">
        <v>46477</v>
      </c>
      <c r="H57" s="3" t="inlineStr">
        <is>
          <t>未</t>
        </is>
      </c>
      <c r="I57" s="3" t="inlineStr"/>
      <c r="J57" s="7" t="inlineStr">
        <is>
          <t>e</t>
        </is>
      </c>
    </row>
    <row r="58">
      <c r="A58" s="6">
        <f>+ROW()-ROW($A$1)</f>
        <v/>
      </c>
      <c r="B58" s="3" t="inlineStr">
        <is>
          <t>P6 いつか</t>
        </is>
      </c>
      <c r="C58" s="3" t="inlineStr">
        <is>
          <t>開発</t>
        </is>
      </c>
      <c r="D58" s="3" t="inlineStr">
        <is>
          <t>白地図に描いて覚える</t>
        </is>
      </c>
      <c r="E58" s="3" t="inlineStr">
        <is>
          <t>国土数値情報（川・湖・海岸線の形）で白地図を描き、川をなぞる・場所をタップするなどで答える</t>
        </is>
      </c>
      <c r="F58" s="16" t="n"/>
      <c r="G58" s="16" t="n"/>
      <c r="H58" s="3" t="inlineStr">
        <is>
          <t>未</t>
        </is>
      </c>
      <c r="I58" s="3" t="inlineStr">
        <is>
          <t>自己満足に近いかも。余裕があれば</t>
        </is>
      </c>
      <c r="J58" s="7" t="inlineStr">
        <is>
          <t>e</t>
        </is>
      </c>
    </row>
    <row r="59">
      <c r="A59" s="15" t="inlineStr">
        <is>
          <t>e</t>
        </is>
      </c>
      <c r="B59" s="15" t="inlineStr">
        <is>
          <t>e</t>
        </is>
      </c>
      <c r="C59" s="15" t="inlineStr">
        <is>
          <t>e</t>
        </is>
      </c>
      <c r="D59" s="15" t="inlineStr">
        <is>
          <t>e</t>
        </is>
      </c>
      <c r="E59" s="15" t="inlineStr">
        <is>
          <t>e</t>
        </is>
      </c>
      <c r="F59" s="15" t="inlineStr">
        <is>
          <t>e</t>
        </is>
      </c>
      <c r="G59" s="15" t="inlineStr">
        <is>
          <t>e</t>
        </is>
      </c>
      <c r="H59" s="15" t="inlineStr">
        <is>
          <t>e</t>
        </is>
      </c>
      <c r="I59" s="15" t="inlineStr">
        <is>
          <t>e</t>
        </is>
      </c>
      <c r="J59" s="15" t="inlineStr">
        <is>
          <t>e</t>
        </is>
      </c>
    </row>
  </sheetData>
  <conditionalFormatting sqref="B2:E58">
    <cfRule type="expression" priority="1" dxfId="5">
      <formula>B1=B2</formula>
    </cfRule>
  </conditionalFormatting>
  <conditionalFormatting sqref="B2:I58">
    <cfRule type="expression" priority="2" dxfId="6">
      <formula>$H2="済"</formula>
    </cfRule>
  </conditionalFormatting>
  <dataValidations count="1">
    <dataValidation sqref="H2:H58" showDropDown="0" showInputMessage="0" showErrorMessage="0" allowBlank="1" type="list">
      <formula1>リスト!$C$3:$C$4</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32"/>
  <sheetViews>
    <sheetView showGridLines="0" tabSelected="0" zoomScaleNormal="100" workbookViewId="0">
      <pane ySplit="1" topLeftCell="A2" activePane="bottomLeft" state="frozen"/>
      <selection pane="bottomLeft" activeCell="A2" sqref="A2"/>
    </sheetView>
  </sheetViews>
  <sheetFormatPr baseColWidth="8" defaultColWidth="8.6640625" defaultRowHeight="13.5"/>
  <cols>
    <col width="4" customWidth="1" style="2" min="1" max="1"/>
    <col width="26" customWidth="1" style="4" min="2" max="2"/>
    <col width="44" customWidth="1" style="4" min="3" max="3"/>
    <col width="11" bestFit="1" customWidth="1" style="4" min="4" max="4"/>
    <col width="8" customWidth="1" style="4" min="5" max="6"/>
    <col width="8" customWidth="1" style="13" min="6" max="6"/>
    <col width="11" bestFit="1" customWidth="1" style="4" min="7" max="7"/>
    <col width="7" customWidth="1" style="4" min="8" max="8"/>
    <col width="40" customWidth="1" style="4" min="9" max="9"/>
    <col width="10" customWidth="1" style="4" min="10" max="10"/>
    <col width="11" bestFit="1" customWidth="1" style="4" min="11" max="11"/>
    <col width="28" customWidth="1" style="4" min="12" max="13"/>
    <col width="8.6640625" customWidth="1" style="1" min="14" max="16384"/>
  </cols>
  <sheetData>
    <row r="1" ht="27" customFormat="1" customHeight="1" s="4">
      <c r="A1" s="12" t="inlineStr">
        <is>
          <t>#</t>
        </is>
      </c>
      <c r="B1" s="11" t="inlineStr">
        <is>
          <t>タイトル</t>
        </is>
      </c>
      <c r="C1" s="11" t="inlineStr">
        <is>
          <t>内容</t>
        </is>
      </c>
      <c r="D1" s="11" t="inlineStr">
        <is>
          <t>起票日</t>
        </is>
      </c>
      <c r="E1" s="11" t="inlineStr">
        <is>
          <t>起票者</t>
        </is>
      </c>
      <c r="F1" s="11" t="inlineStr">
        <is>
          <t>担当者</t>
        </is>
      </c>
      <c r="G1" s="11" t="inlineStr">
        <is>
          <t>対応期日</t>
        </is>
      </c>
      <c r="H1" s="11" t="inlineStr">
        <is>
          <t>優先度</t>
        </is>
      </c>
      <c r="I1" s="11" t="inlineStr">
        <is>
          <t>対応状況・対応結果</t>
        </is>
      </c>
      <c r="J1" s="11" t="inlineStr">
        <is>
          <t>ステータス</t>
        </is>
      </c>
      <c r="K1" s="11" t="inlineStr">
        <is>
          <t>対応完了日</t>
        </is>
      </c>
      <c r="L1" s="11" t="inlineStr">
        <is>
          <t>備考</t>
        </is>
      </c>
      <c r="M1" s="11" t="inlineStr">
        <is>
          <t>依頼元</t>
        </is>
      </c>
      <c r="N1" s="7" t="inlineStr">
        <is>
          <t>e</t>
        </is>
      </c>
    </row>
    <row r="2">
      <c r="A2" s="6">
        <f>+ROW()-ROW($A$1)</f>
        <v/>
      </c>
      <c r="B2" s="3" t="inlineStr">
        <is>
          <t>GitHubリポジトリ作成・push</t>
        </is>
      </c>
      <c r="C2" s="3" t="inlineStr">
        <is>
          <t>リポジトリ作成とpushにはGitHubアカウントでの認証が必要</t>
        </is>
      </c>
      <c r="D2" s="16" t="n">
        <v>46299</v>
      </c>
      <c r="E2" s="3" t="inlineStr">
        <is>
          <t>Claude</t>
        </is>
      </c>
      <c r="F2" s="3" t="inlineStr">
        <is>
          <t>自分</t>
        </is>
      </c>
      <c r="G2" s="16" t="n">
        <v>46299</v>
      </c>
      <c r="H2" s="3" t="inlineStr">
        <is>
          <t>1：高</t>
        </is>
      </c>
      <c r="I2" s="3" t="inlineStr">
        <is>
          <t>github.com/tarooooo-u/shakai に push 済</t>
        </is>
      </c>
      <c r="J2" s="3" t="inlineStr">
        <is>
          <t>9：完了</t>
        </is>
      </c>
      <c r="K2" s="16" t="n">
        <v>46299</v>
      </c>
      <c r="L2" s="3" t="inlineStr"/>
      <c r="M2" s="3" t="inlineStr"/>
      <c r="N2" s="7" t="inlineStr">
        <is>
          <t>e</t>
        </is>
      </c>
    </row>
    <row r="3">
      <c r="A3" s="6">
        <f>+ROW()-ROW($A$1)</f>
        <v/>
      </c>
      <c r="B3" s="3" t="inlineStr">
        <is>
          <t>Cloudflare Pagesで公開</t>
        </is>
      </c>
      <c r="C3" s="3" t="inlineStr">
        <is>
          <t>Cloudflareでリポジトリを接続。ビルドコマンド npm run build / 出力 out</t>
        </is>
      </c>
      <c r="D3" s="16" t="n">
        <v>46299</v>
      </c>
      <c r="E3" s="3" t="inlineStr">
        <is>
          <t>Claude</t>
        </is>
      </c>
      <c r="F3" s="3" t="inlineStr">
        <is>
          <t>自分</t>
        </is>
      </c>
      <c r="G3" s="16" t="n">
        <v>46300</v>
      </c>
      <c r="H3" s="3" t="inlineStr">
        <is>
          <t>1：高</t>
        </is>
      </c>
      <c r="I3" s="3" t="inlineStr">
        <is>
          <t>静的書き出しの設定は済</t>
        </is>
      </c>
      <c r="J3" s="3" t="inlineStr">
        <is>
          <t>1：未着手</t>
        </is>
      </c>
      <c r="K3" s="16" t="n"/>
      <c r="L3" s="3" t="inlineStr">
        <is>
          <t>当面は検索除けも検討</t>
        </is>
      </c>
      <c r="M3" s="3" t="inlineStr"/>
      <c r="N3" s="7" t="inlineStr">
        <is>
          <t>e</t>
        </is>
      </c>
    </row>
    <row r="4">
      <c r="A4" s="6">
        <f>+ROW()-ROW($A$1)</f>
        <v/>
      </c>
      <c r="B4" s="3" t="inlineStr">
        <is>
          <t>ホスティングの選定</t>
        </is>
      </c>
      <c r="C4" s="3" t="inlineStr">
        <is>
          <t>Vercel無料プランは商用利用不可。将来の課金を考えCloudflareに変更</t>
        </is>
      </c>
      <c r="D4" s="16" t="n">
        <v>46299</v>
      </c>
      <c r="E4" s="3" t="inlineStr">
        <is>
          <t>Claude</t>
        </is>
      </c>
      <c r="F4" s="3" t="inlineStr">
        <is>
          <t>Claude</t>
        </is>
      </c>
      <c r="G4" s="16" t="n">
        <v>46299</v>
      </c>
      <c r="H4" s="3" t="inlineStr">
        <is>
          <t>2：中</t>
        </is>
      </c>
      <c r="I4" s="3" t="inlineStr">
        <is>
          <t>Cloudflare Pages（今）→ Workers＋OpenNext（ログイン・Stripe導入時）</t>
        </is>
      </c>
      <c r="J4" s="3" t="inlineStr">
        <is>
          <t>9：完了</t>
        </is>
      </c>
      <c r="K4" s="16" t="n">
        <v>46299</v>
      </c>
      <c r="L4" s="3" t="inlineStr"/>
      <c r="M4" s="3" t="inlineStr"/>
      <c r="N4" s="7" t="inlineStr">
        <is>
          <t>e</t>
        </is>
      </c>
    </row>
    <row r="5">
      <c r="A5" s="6">
        <f>+ROW()-ROW($A$1)</f>
        <v/>
      </c>
      <c r="B5" s="3" t="inlineStr">
        <is>
          <t>問題文の著作権</t>
        </is>
      </c>
      <c r="C5" s="3" t="inlineStr">
        <is>
          <t>将来マネタイズするため、市販教材・塾テキスト・過去問の文章をそのまま使わない</t>
        </is>
      </c>
      <c r="D5" s="16" t="n">
        <v>46299</v>
      </c>
      <c r="E5" s="3" t="inlineStr">
        <is>
          <t>Claude</t>
        </is>
      </c>
      <c r="F5" s="3" t="inlineStr">
        <is>
          <t>自分</t>
        </is>
      </c>
      <c r="G5" s="16" t="n">
        <v>46313</v>
      </c>
      <c r="H5" s="3" t="inlineStr">
        <is>
          <t>1：高</t>
        </is>
      </c>
      <c r="I5" s="3" t="inlineStr">
        <is>
          <t>方針：問題文・解説はすべて自作。questions.tsの先頭にも明記済</t>
        </is>
      </c>
      <c r="J5" s="3" t="inlineStr">
        <is>
          <t>2：着手</t>
        </is>
      </c>
      <c r="K5" s="16" t="n"/>
      <c r="L5" s="3" t="inlineStr"/>
      <c r="M5" s="3" t="inlineStr"/>
      <c r="N5" s="7" t="inlineStr">
        <is>
          <t>e</t>
        </is>
      </c>
    </row>
    <row r="6">
      <c r="A6" s="6">
        <f>+ROW()-ROW($A$1)</f>
        <v/>
      </c>
      <c r="B6" s="3" t="inlineStr">
        <is>
          <t>問題内容の正確性チェック</t>
        </is>
      </c>
      <c r="C6" s="3" t="inlineStr">
        <is>
          <t>初期90問はClaudeが作成。誤りが混ざる可能性がある</t>
        </is>
      </c>
      <c r="D6" s="16" t="n">
        <v>46299</v>
      </c>
      <c r="E6" s="3" t="inlineStr">
        <is>
          <t>Claude</t>
        </is>
      </c>
      <c r="F6" s="3" t="inlineStr">
        <is>
          <t>自分</t>
        </is>
      </c>
      <c r="G6" s="16" t="n">
        <v>46306</v>
      </c>
      <c r="H6" s="3" t="inlineStr">
        <is>
          <t>1：高</t>
        </is>
      </c>
      <c r="I6" s="3" t="inlineStr"/>
      <c r="J6" s="3" t="inlineStr">
        <is>
          <t>1：未着手</t>
        </is>
      </c>
      <c r="K6" s="16" t="n"/>
      <c r="L6" s="3" t="inlineStr">
        <is>
          <t>誤り報告ボタンはP1で実装予定</t>
        </is>
      </c>
      <c r="M6" s="3" t="inlineStr"/>
      <c r="N6" s="7" t="inlineStr">
        <is>
          <t>e</t>
        </is>
      </c>
    </row>
    <row r="7">
      <c r="A7" s="6">
        <f>+ROW()-ROW($A$1)</f>
        <v/>
      </c>
      <c r="B7" s="3" t="inlineStr">
        <is>
          <t>難易度名に学校名を使わない</t>
        </is>
      </c>
      <c r="C7" s="3" t="inlineStr">
        <is>
          <t>Gemini案の「開成級」は商用時に避けたい</t>
        </is>
      </c>
      <c r="D7" s="16" t="n">
        <v>46299</v>
      </c>
      <c r="E7" s="3" t="inlineStr">
        <is>
          <t>Claude</t>
        </is>
      </c>
      <c r="F7" s="3" t="inlineStr">
        <is>
          <t>Claude</t>
        </is>
      </c>
      <c r="G7" s="16" t="n">
        <v>46299</v>
      </c>
      <c r="H7" s="3" t="inlineStr">
        <is>
          <t>2：中</t>
        </is>
      </c>
      <c r="I7" s="3" t="inlineStr">
        <is>
          <t>「最難関」に変更</t>
        </is>
      </c>
      <c r="J7" s="3" t="inlineStr">
        <is>
          <t>9：完了</t>
        </is>
      </c>
      <c r="K7" s="16" t="n">
        <v>46299</v>
      </c>
      <c r="L7" s="3" t="inlineStr"/>
      <c r="M7" s="3" t="inlineStr"/>
      <c r="N7" s="7" t="inlineStr">
        <is>
          <t>e</t>
        </is>
      </c>
    </row>
    <row r="8">
      <c r="A8" s="6">
        <f>+ROW()-ROW($A$1)</f>
        <v/>
      </c>
      <c r="B8" s="3" t="inlineStr">
        <is>
          <t>学習記録が端末ごとに別</t>
        </is>
      </c>
      <c r="C8" s="3" t="inlineStr">
        <is>
          <t>localStorage保存のため、iPadとPCで記録が共有されない。ブラウザのデータ削除で消える</t>
        </is>
      </c>
      <c r="D8" s="16" t="n">
        <v>46299</v>
      </c>
      <c r="E8" s="3" t="inlineStr">
        <is>
          <t>Claude</t>
        </is>
      </c>
      <c r="F8" s="3" t="inlineStr">
        <is>
          <t>Claude</t>
        </is>
      </c>
      <c r="G8" s="16" t="n">
        <v>46313</v>
      </c>
      <c r="H8" s="3" t="inlineStr">
        <is>
          <t>2：中</t>
        </is>
      </c>
      <c r="I8" s="3" t="inlineStr">
        <is>
          <t>当面はエクスポート/インポートで対応。本格対応はログイン実装時</t>
        </is>
      </c>
      <c r="J8" s="3" t="inlineStr">
        <is>
          <t>1：未着手</t>
        </is>
      </c>
      <c r="K8" s="16" t="n"/>
      <c r="L8" s="3" t="inlineStr"/>
      <c r="M8" s="3" t="inlineStr"/>
      <c r="N8" s="7" t="inlineStr">
        <is>
          <t>e</t>
        </is>
      </c>
    </row>
    <row r="9">
      <c r="A9" s="6">
        <f>+ROW()-ROW($A$1)</f>
        <v/>
      </c>
      <c r="B9" s="3" t="inlineStr">
        <is>
          <t>自己採点が甘くなりがち</t>
        </is>
      </c>
      <c r="C9" s="3" t="inlineStr">
        <is>
          <t>〇を押しがちで定着度が過大評価される</t>
        </is>
      </c>
      <c r="D9" s="16" t="n">
        <v>46299</v>
      </c>
      <c r="E9" s="3" t="inlineStr">
        <is>
          <t>Claude</t>
        </is>
      </c>
      <c r="F9" s="3" t="inlineStr">
        <is>
          <t>Claude</t>
        </is>
      </c>
      <c r="G9" s="16" t="n">
        <v>46327</v>
      </c>
      <c r="H9" s="3" t="inlineStr">
        <is>
          <t>2：中</t>
        </is>
      </c>
      <c r="I9" s="3" t="inlineStr">
        <is>
          <t>入力式・選択式モードで補う（P2）</t>
        </is>
      </c>
      <c r="J9" s="3" t="inlineStr">
        <is>
          <t>1：未着手</t>
        </is>
      </c>
      <c r="K9" s="16" t="n"/>
      <c r="L9" s="3" t="inlineStr"/>
      <c r="M9" s="3" t="inlineStr"/>
      <c r="N9" s="7" t="inlineStr">
        <is>
          <t>e</t>
        </is>
      </c>
    </row>
    <row r="10">
      <c r="A10" s="6">
        <f>+ROW()-ROW($A$1)</f>
        <v/>
      </c>
      <c r="B10" s="3" t="inlineStr">
        <is>
          <t>統計データの年次更新</t>
        </is>
      </c>
      <c r="C10" s="3" t="inlineStr">
        <is>
          <t>生産量ランキング等は毎年変わる</t>
        </is>
      </c>
      <c r="D10" s="16" t="n">
        <v>46299</v>
      </c>
      <c r="E10" s="3" t="inlineStr">
        <is>
          <t>Claude</t>
        </is>
      </c>
      <c r="F10" s="3" t="inlineStr">
        <is>
          <t>自分</t>
        </is>
      </c>
      <c r="G10" s="16" t="n">
        <v>46343</v>
      </c>
      <c r="H10" s="3" t="inlineStr">
        <is>
          <t>2：中</t>
        </is>
      </c>
      <c r="I10" s="3" t="inlineStr">
        <is>
          <t>統計問題には出典年を持たせる</t>
        </is>
      </c>
      <c r="J10" s="3" t="inlineStr">
        <is>
          <t>1：未着手</t>
        </is>
      </c>
      <c r="K10" s="16" t="n"/>
      <c r="L10" s="3" t="inlineStr"/>
      <c r="M10" s="3" t="inlineStr"/>
      <c r="N10" s="7" t="inlineStr">
        <is>
          <t>e</t>
        </is>
      </c>
    </row>
    <row r="11">
      <c r="A11" s="6">
        <f>+ROW()-ROW($A$1)</f>
        <v/>
      </c>
      <c r="B11" s="3" t="inlineStr">
        <is>
          <t>ライバルサイト調査</t>
        </is>
      </c>
      <c r="C11" s="3" t="inlineStr">
        <is>
          <t>比較して差別化ポイントを決める</t>
        </is>
      </c>
      <c r="D11" s="16" t="n">
        <v>46299</v>
      </c>
      <c r="E11" s="3" t="inlineStr">
        <is>
          <t>Claude</t>
        </is>
      </c>
      <c r="F11" s="3" t="inlineStr">
        <is>
          <t>Claude</t>
        </is>
      </c>
      <c r="G11" s="16" t="n">
        <v>46299</v>
      </c>
      <c r="H11" s="3" t="inlineStr">
        <is>
          <t>2：中</t>
        </is>
      </c>
      <c r="I11" s="3" t="inlineStr">
        <is>
          <t>単元選択・4択・保護者一覧・URL共有を取り入れ済</t>
        </is>
      </c>
      <c r="J11" s="3" t="inlineStr">
        <is>
          <t>9：完了</t>
        </is>
      </c>
      <c r="K11" s="16" t="n">
        <v>46299</v>
      </c>
      <c r="L11" s="3" t="inlineStr"/>
      <c r="M11" s="3" t="inlineStr"/>
      <c r="N11" s="7" t="inlineStr">
        <is>
          <t>e</t>
        </is>
      </c>
    </row>
    <row r="12">
      <c r="A12" s="6">
        <f>+ROW()-ROW($A$1)</f>
        <v/>
      </c>
      <c r="B12" s="3" t="inlineStr">
        <is>
          <t>プロジェクトがOneDrive上にある</t>
        </is>
      </c>
      <c r="C12" s="3" t="inlineStr">
        <is>
          <t>node_modules（数万ファイル）が同期対象になり、重くなったりnpm installが失敗することがある</t>
        </is>
      </c>
      <c r="D12" s="16" t="n">
        <v>46299</v>
      </c>
      <c r="E12" s="3" t="inlineStr">
        <is>
          <t>Claude</t>
        </is>
      </c>
      <c r="F12" s="3" t="inlineStr">
        <is>
          <t>自分</t>
        </is>
      </c>
      <c r="G12" s="16" t="n">
        <v>46313</v>
      </c>
      <c r="H12" s="3" t="inlineStr">
        <is>
          <t>3：低</t>
        </is>
      </c>
      <c r="I12" s="3" t="inlineStr"/>
      <c r="J12" s="3" t="inlineStr">
        <is>
          <t>1：未着手</t>
        </is>
      </c>
      <c r="K12" s="16" t="n"/>
      <c r="L12" s="3" t="inlineStr">
        <is>
          <t>OneDrive外へ移すか、同期対象から外す</t>
        </is>
      </c>
      <c r="M12" s="3" t="inlineStr"/>
      <c r="N12" s="7" t="inlineStr">
        <is>
          <t>e</t>
        </is>
      </c>
    </row>
    <row r="13">
      <c r="A13" s="6">
        <f>+ROW()-ROW($A$1)</f>
        <v/>
      </c>
      <c r="B13" s="3" t="inlineStr">
        <is>
          <t>「4択のみ」の問題の誤答選択肢の見直し</t>
        </is>
      </c>
      <c r="C13" s="3" t="inlineStr">
        <is>
          <t>選択肢がないと答えられない「どれか」型の203問（出題形式「4択のみ」）に、c0311 のように誤答選択肢がやさしすぎて答えが見えてしまう問題が残っている。主に発展問題（スキャン・筑駒由来）。誤答に正しいとも言えるものがまじっていないかもあわせて確認する</t>
        </is>
      </c>
      <c r="D13" s="16" t="n">
        <v>46307</v>
      </c>
      <c r="E13" s="3" t="inlineStr">
        <is>
          <t>Claude</t>
        </is>
      </c>
      <c r="F13" s="3" t="inlineStr">
        <is>
          <t>Claude</t>
        </is>
      </c>
      <c r="G13" s="3" t="n"/>
      <c r="H13" s="3" t="inlineStr">
        <is>
          <t>2：中</t>
        </is>
      </c>
      <c r="I13" s="3" t="inlineStr">
        <is>
          <t>単元ごとに分けて1問ずつ見直す。誤答は「同じ種類で、まぎらわしいもの」に差しかえる（例：三権分立なら他の向きの権限）。対象は CSV の「出題形式」列が「4択のみ」の行</t>
        </is>
      </c>
      <c r="J13" s="3" t="inlineStr">
        <is>
          <t>1：未着手</t>
        </is>
      </c>
      <c r="K13" s="3" t="n"/>
      <c r="L13" s="3" t="inlineStr">
        <is>
          <t>2026-10-12 に c0311・c0312 は対応済み。答えが語句の74問は「何か」の問い方に直し済み</t>
        </is>
      </c>
      <c r="M13" s="3" t="n"/>
      <c r="N13" s="7" t="inlineStr">
        <is>
          <t>e</t>
        </is>
      </c>
    </row>
    <row r="14">
      <c r="A14" s="6">
        <f>+ROW()-ROW($A$1)</f>
        <v/>
      </c>
      <c r="B14" s="3" t="n"/>
      <c r="C14" s="3" t="n"/>
      <c r="D14" s="3" t="n"/>
      <c r="E14" s="3" t="n"/>
      <c r="F14" s="3" t="n"/>
      <c r="G14" s="3" t="n"/>
      <c r="H14" s="3" t="n"/>
      <c r="I14" s="3" t="n"/>
      <c r="J14" s="3" t="n"/>
      <c r="K14" s="3" t="n"/>
      <c r="L14" s="3" t="n"/>
      <c r="M14" s="3" t="n"/>
      <c r="N14" s="7" t="inlineStr">
        <is>
          <t>e</t>
        </is>
      </c>
    </row>
    <row r="15">
      <c r="A15" s="6">
        <f>+ROW()-ROW($A$1)</f>
        <v/>
      </c>
      <c r="B15" s="3" t="n"/>
      <c r="C15" s="3" t="n"/>
      <c r="D15" s="3" t="n"/>
      <c r="E15" s="3" t="n"/>
      <c r="F15" s="3" t="n"/>
      <c r="G15" s="3" t="n"/>
      <c r="H15" s="3" t="n"/>
      <c r="I15" s="3" t="n"/>
      <c r="J15" s="3" t="n"/>
      <c r="K15" s="3" t="n"/>
      <c r="L15" s="3" t="n"/>
      <c r="M15" s="3" t="n"/>
      <c r="N15" s="7" t="inlineStr">
        <is>
          <t>e</t>
        </is>
      </c>
    </row>
    <row r="16">
      <c r="A16" s="6">
        <f>+ROW()-ROW($A$1)</f>
        <v/>
      </c>
      <c r="B16" s="3" t="n"/>
      <c r="C16" s="3" t="n"/>
      <c r="D16" s="3" t="n"/>
      <c r="E16" s="3" t="n"/>
      <c r="F16" s="3" t="n"/>
      <c r="G16" s="3" t="n"/>
      <c r="H16" s="3" t="n"/>
      <c r="I16" s="3" t="n"/>
      <c r="J16" s="3" t="n"/>
      <c r="K16" s="3" t="n"/>
      <c r="L16" s="3" t="n"/>
      <c r="M16" s="3" t="n"/>
      <c r="N16" s="7" t="inlineStr">
        <is>
          <t>e</t>
        </is>
      </c>
    </row>
    <row r="17">
      <c r="A17" s="6">
        <f>+ROW()-ROW($A$1)</f>
        <v/>
      </c>
      <c r="B17" s="3" t="n"/>
      <c r="C17" s="3" t="n"/>
      <c r="D17" s="3" t="n"/>
      <c r="E17" s="3" t="n"/>
      <c r="F17" s="3" t="n"/>
      <c r="G17" s="3" t="n"/>
      <c r="H17" s="3" t="n"/>
      <c r="I17" s="3" t="n"/>
      <c r="J17" s="3" t="n"/>
      <c r="K17" s="3" t="n"/>
      <c r="L17" s="3" t="n"/>
      <c r="M17" s="3" t="n"/>
      <c r="N17" s="7" t="inlineStr">
        <is>
          <t>e</t>
        </is>
      </c>
    </row>
    <row r="18">
      <c r="A18" s="6">
        <f>+ROW()-ROW($A$1)</f>
        <v/>
      </c>
      <c r="B18" s="3" t="n"/>
      <c r="C18" s="3" t="n"/>
      <c r="D18" s="3" t="n"/>
      <c r="E18" s="3" t="n"/>
      <c r="F18" s="3" t="n"/>
      <c r="G18" s="3" t="n"/>
      <c r="H18" s="3" t="n"/>
      <c r="I18" s="3" t="n"/>
      <c r="J18" s="3" t="n"/>
      <c r="K18" s="3" t="n"/>
      <c r="L18" s="3" t="n"/>
      <c r="M18" s="3" t="n"/>
      <c r="N18" s="7" t="inlineStr">
        <is>
          <t>e</t>
        </is>
      </c>
    </row>
    <row r="19">
      <c r="A19" s="6">
        <f>+ROW()-ROW($A$1)</f>
        <v/>
      </c>
      <c r="B19" s="3" t="n"/>
      <c r="C19" s="3" t="n"/>
      <c r="D19" s="3" t="n"/>
      <c r="E19" s="3" t="n"/>
      <c r="F19" s="3" t="n"/>
      <c r="G19" s="3" t="n"/>
      <c r="H19" s="3" t="n"/>
      <c r="I19" s="3" t="n"/>
      <c r="J19" s="3" t="n"/>
      <c r="K19" s="3" t="n"/>
      <c r="L19" s="3" t="n"/>
      <c r="M19" s="3" t="n"/>
      <c r="N19" s="7" t="inlineStr">
        <is>
          <t>e</t>
        </is>
      </c>
    </row>
    <row r="20">
      <c r="A20" s="6">
        <f>+ROW()-ROW($A$1)</f>
        <v/>
      </c>
      <c r="B20" s="3" t="n"/>
      <c r="C20" s="3" t="n"/>
      <c r="D20" s="3" t="n"/>
      <c r="E20" s="3" t="n"/>
      <c r="F20" s="3" t="n"/>
      <c r="G20" s="3" t="n"/>
      <c r="H20" s="3" t="n"/>
      <c r="I20" s="3" t="n"/>
      <c r="J20" s="3" t="n"/>
      <c r="K20" s="3" t="n"/>
      <c r="L20" s="3" t="n"/>
      <c r="M20" s="3" t="n"/>
      <c r="N20" s="7" t="inlineStr">
        <is>
          <t>e</t>
        </is>
      </c>
    </row>
    <row r="21">
      <c r="A21" s="6">
        <f>+ROW()-ROW($A$1)</f>
        <v/>
      </c>
      <c r="B21" s="3" t="n"/>
      <c r="C21" s="3" t="n"/>
      <c r="D21" s="3" t="n"/>
      <c r="E21" s="3" t="n"/>
      <c r="F21" s="3" t="n"/>
      <c r="G21" s="3" t="n"/>
      <c r="H21" s="3" t="n"/>
      <c r="I21" s="3" t="n"/>
      <c r="J21" s="3" t="n"/>
      <c r="K21" s="3" t="n"/>
      <c r="L21" s="3" t="n"/>
      <c r="M21" s="3" t="n"/>
      <c r="N21" s="7" t="inlineStr">
        <is>
          <t>e</t>
        </is>
      </c>
    </row>
    <row r="22">
      <c r="A22" s="6">
        <f>+ROW()-ROW($A$1)</f>
        <v/>
      </c>
      <c r="B22" s="3" t="n"/>
      <c r="C22" s="3" t="n"/>
      <c r="D22" s="3" t="n"/>
      <c r="E22" s="3" t="n"/>
      <c r="F22" s="3" t="n"/>
      <c r="G22" s="3" t="n"/>
      <c r="H22" s="3" t="n"/>
      <c r="I22" s="3" t="n"/>
      <c r="J22" s="3" t="n"/>
      <c r="K22" s="3" t="n"/>
      <c r="L22" s="3" t="n"/>
      <c r="M22" s="3" t="n"/>
      <c r="N22" s="7" t="inlineStr">
        <is>
          <t>e</t>
        </is>
      </c>
    </row>
    <row r="23">
      <c r="A23" s="6">
        <f>+ROW()-ROW($A$1)</f>
        <v/>
      </c>
      <c r="B23" s="3" t="n"/>
      <c r="C23" s="3" t="n"/>
      <c r="D23" s="3" t="n"/>
      <c r="E23" s="3" t="n"/>
      <c r="F23" s="3" t="n"/>
      <c r="G23" s="3" t="n"/>
      <c r="H23" s="3" t="n"/>
      <c r="I23" s="3" t="n"/>
      <c r="J23" s="3" t="n"/>
      <c r="K23" s="3" t="n"/>
      <c r="L23" s="3" t="n"/>
      <c r="M23" s="3" t="n"/>
      <c r="N23" s="7" t="inlineStr">
        <is>
          <t>e</t>
        </is>
      </c>
    </row>
    <row r="24">
      <c r="A24" s="6">
        <f>+ROW()-ROW($A$1)</f>
        <v/>
      </c>
      <c r="B24" s="3" t="n"/>
      <c r="C24" s="3" t="n"/>
      <c r="D24" s="3" t="n"/>
      <c r="E24" s="3" t="n"/>
      <c r="F24" s="3" t="n"/>
      <c r="G24" s="3" t="n"/>
      <c r="H24" s="3" t="n"/>
      <c r="I24" s="3" t="n"/>
      <c r="J24" s="3" t="n"/>
      <c r="K24" s="3" t="n"/>
      <c r="L24" s="3" t="n"/>
      <c r="M24" s="3" t="n"/>
      <c r="N24" s="7" t="inlineStr">
        <is>
          <t>e</t>
        </is>
      </c>
    </row>
    <row r="25">
      <c r="A25" s="6">
        <f>+ROW()-ROW($A$1)</f>
        <v/>
      </c>
      <c r="B25" s="3" t="n"/>
      <c r="C25" s="3" t="n"/>
      <c r="D25" s="3" t="n"/>
      <c r="E25" s="3" t="n"/>
      <c r="F25" s="3" t="n"/>
      <c r="G25" s="3" t="n"/>
      <c r="H25" s="3" t="n"/>
      <c r="I25" s="3" t="n"/>
      <c r="J25" s="3" t="n"/>
      <c r="K25" s="3" t="n"/>
      <c r="L25" s="3" t="n"/>
      <c r="M25" s="3" t="n"/>
      <c r="N25" s="7" t="inlineStr">
        <is>
          <t>e</t>
        </is>
      </c>
    </row>
    <row r="26">
      <c r="A26" s="6">
        <f>+ROW()-ROW($A$1)</f>
        <v/>
      </c>
      <c r="B26" s="3" t="n"/>
      <c r="C26" s="3" t="n"/>
      <c r="D26" s="3" t="n"/>
      <c r="E26" s="3" t="n"/>
      <c r="F26" s="3" t="n"/>
      <c r="G26" s="3" t="n"/>
      <c r="H26" s="3" t="n"/>
      <c r="I26" s="3" t="n"/>
      <c r="J26" s="3" t="n"/>
      <c r="K26" s="3" t="n"/>
      <c r="L26" s="3" t="n"/>
      <c r="M26" s="3" t="n"/>
      <c r="N26" s="7" t="inlineStr">
        <is>
          <t>e</t>
        </is>
      </c>
    </row>
    <row r="27">
      <c r="A27" s="6">
        <f>+ROW()-ROW($A$1)</f>
        <v/>
      </c>
      <c r="B27" s="3" t="n"/>
      <c r="C27" s="3" t="n"/>
      <c r="D27" s="3" t="n"/>
      <c r="E27" s="3" t="n"/>
      <c r="F27" s="3" t="n"/>
      <c r="G27" s="3" t="n"/>
      <c r="H27" s="3" t="n"/>
      <c r="I27" s="3" t="n"/>
      <c r="J27" s="3" t="n"/>
      <c r="K27" s="3" t="n"/>
      <c r="L27" s="3" t="n"/>
      <c r="M27" s="3" t="n"/>
      <c r="N27" s="7" t="inlineStr">
        <is>
          <t>e</t>
        </is>
      </c>
    </row>
    <row r="28">
      <c r="A28" s="6">
        <f>+ROW()-ROW($A$1)</f>
        <v/>
      </c>
      <c r="B28" s="3" t="n"/>
      <c r="C28" s="3" t="n"/>
      <c r="D28" s="3" t="n"/>
      <c r="E28" s="3" t="n"/>
      <c r="F28" s="3" t="n"/>
      <c r="G28" s="3" t="n"/>
      <c r="H28" s="3" t="n"/>
      <c r="I28" s="3" t="n"/>
      <c r="J28" s="3" t="n"/>
      <c r="K28" s="3" t="n"/>
      <c r="L28" s="3" t="n"/>
      <c r="M28" s="3" t="n"/>
      <c r="N28" s="7" t="inlineStr">
        <is>
          <t>e</t>
        </is>
      </c>
    </row>
    <row r="29">
      <c r="A29" s="6">
        <f>+ROW()-ROW($A$1)</f>
        <v/>
      </c>
      <c r="B29" s="3" t="n"/>
      <c r="C29" s="3" t="n"/>
      <c r="D29" s="3" t="n"/>
      <c r="E29" s="3" t="n"/>
      <c r="F29" s="3" t="n"/>
      <c r="G29" s="3" t="n"/>
      <c r="H29" s="3" t="n"/>
      <c r="I29" s="3" t="n"/>
      <c r="J29" s="3" t="n"/>
      <c r="K29" s="3" t="n"/>
      <c r="L29" s="3" t="n"/>
      <c r="M29" s="3" t="n"/>
      <c r="N29" s="7" t="inlineStr">
        <is>
          <t>e</t>
        </is>
      </c>
    </row>
    <row r="30">
      <c r="A30" s="6">
        <f>+ROW()-ROW($A$1)</f>
        <v/>
      </c>
      <c r="B30" s="3" t="n"/>
      <c r="C30" s="3" t="n"/>
      <c r="D30" s="3" t="n"/>
      <c r="E30" s="3" t="n"/>
      <c r="F30" s="3" t="n"/>
      <c r="G30" s="3" t="n"/>
      <c r="H30" s="3" t="n"/>
      <c r="I30" s="3" t="n"/>
      <c r="J30" s="3" t="n"/>
      <c r="K30" s="3" t="n"/>
      <c r="L30" s="3" t="n"/>
      <c r="M30" s="3" t="n"/>
      <c r="N30" s="7" t="inlineStr">
        <is>
          <t>e</t>
        </is>
      </c>
    </row>
    <row r="31">
      <c r="A31" s="6">
        <f>+ROW()-ROW($A$1)</f>
        <v/>
      </c>
      <c r="B31" s="3" t="n"/>
      <c r="C31" s="3" t="n"/>
      <c r="D31" s="3" t="n"/>
      <c r="E31" s="3" t="n"/>
      <c r="F31" s="3" t="n"/>
      <c r="G31" s="3" t="n"/>
      <c r="H31" s="3" t="n"/>
      <c r="I31" s="3" t="n"/>
      <c r="J31" s="3" t="n"/>
      <c r="K31" s="3" t="n"/>
      <c r="L31" s="3" t="n"/>
      <c r="M31" s="3" t="n"/>
      <c r="N31" s="7" t="inlineStr">
        <is>
          <t>e</t>
        </is>
      </c>
    </row>
    <row r="32">
      <c r="A32" s="9" t="inlineStr">
        <is>
          <t>e</t>
        </is>
      </c>
      <c r="B32" s="9" t="inlineStr">
        <is>
          <t>e</t>
        </is>
      </c>
      <c r="C32" s="9" t="inlineStr">
        <is>
          <t>e</t>
        </is>
      </c>
      <c r="D32" s="9" t="inlineStr">
        <is>
          <t>e</t>
        </is>
      </c>
      <c r="E32" s="9" t="inlineStr">
        <is>
          <t>e</t>
        </is>
      </c>
      <c r="F32" s="9" t="inlineStr">
        <is>
          <t>e</t>
        </is>
      </c>
      <c r="G32" s="9" t="inlineStr">
        <is>
          <t>e</t>
        </is>
      </c>
      <c r="H32" s="9" t="inlineStr">
        <is>
          <t>e</t>
        </is>
      </c>
      <c r="I32" s="9" t="inlineStr">
        <is>
          <t>e</t>
        </is>
      </c>
      <c r="J32" s="9" t="inlineStr">
        <is>
          <t>e</t>
        </is>
      </c>
      <c r="K32" s="9" t="inlineStr">
        <is>
          <t>e</t>
        </is>
      </c>
      <c r="L32" s="9" t="inlineStr">
        <is>
          <t>e</t>
        </is>
      </c>
      <c r="M32" s="9" t="inlineStr">
        <is>
          <t>e</t>
        </is>
      </c>
      <c r="N32" s="7" t="inlineStr">
        <is>
          <t>e</t>
        </is>
      </c>
    </row>
  </sheetData>
  <conditionalFormatting sqref="B2:M500">
    <cfRule type="expression" priority="14" dxfId="2" stopIfTrue="1">
      <formula>AND($J2="9：完了",$K2&lt;&gt;"")</formula>
    </cfRule>
    <cfRule type="expression" priority="15" dxfId="1" stopIfTrue="1">
      <formula>AND($B2&lt;&gt;"",$G2&lt;&gt;"",$G2&lt;=TODAY())</formula>
    </cfRule>
    <cfRule type="expression" priority="16" dxfId="0" stopIfTrue="1">
      <formula>AND($B2&lt;&gt;"",$G2&lt;&gt;"",$G2&lt;=TODAY()+7)</formula>
    </cfRule>
  </conditionalFormatting>
  <dataValidations count="2">
    <dataValidation sqref="H2:H31" showDropDown="0" showInputMessage="0" showErrorMessage="0" allowBlank="1" type="list">
      <formula1>リスト!$A$3:$A$5</formula1>
    </dataValidation>
    <dataValidation sqref="J2:J31" showDropDown="0" showInputMessage="0" showErrorMessage="0" allowBlank="1" type="list">
      <formula1>リスト!$B$3:$B$5</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9"/>
  <sheetViews>
    <sheetView showGridLines="0" tabSelected="0" workbookViewId="0">
      <pane ySplit="1" topLeftCell="A2" activePane="bottomLeft" state="frozen"/>
      <selection pane="bottomLeft" activeCell="A1" sqref="A1"/>
    </sheetView>
  </sheetViews>
  <sheetFormatPr baseColWidth="8" defaultRowHeight="15"/>
  <cols>
    <col width="4" customWidth="1" style="13" min="1" max="1"/>
    <col width="20" customWidth="1" style="13" min="2" max="2"/>
    <col width="30" customWidth="1" style="13" min="3" max="3"/>
    <col width="50" customWidth="1" style="13" min="4" max="4"/>
    <col width="44" customWidth="1" style="13" min="5" max="5"/>
    <col width="18" customWidth="1" style="13" min="6" max="6"/>
    <col width="36" customWidth="1" style="13" min="7" max="7"/>
  </cols>
  <sheetData>
    <row r="1">
      <c r="A1" s="11" t="inlineStr">
        <is>
          <t>#</t>
        </is>
      </c>
      <c r="B1" s="11" t="inlineStr">
        <is>
          <t>論点</t>
        </is>
      </c>
      <c r="C1" s="11" t="inlineStr">
        <is>
          <t>決めること</t>
        </is>
      </c>
      <c r="D1" s="11" t="inlineStr">
        <is>
          <t>選択肢</t>
        </is>
      </c>
      <c r="E1" s="11" t="inlineStr">
        <is>
          <t>Claudeの推奨</t>
        </is>
      </c>
      <c r="F1" s="11" t="inlineStr">
        <is>
          <t>決定</t>
        </is>
      </c>
      <c r="G1" s="11" t="inlineStr">
        <is>
          <t>備考</t>
        </is>
      </c>
    </row>
    <row r="2">
      <c r="A2" s="3">
        <f>ROW()-1</f>
        <v/>
      </c>
      <c r="B2" s="3" t="inlineStr">
        <is>
          <t>アカウントのモデル</t>
        </is>
      </c>
      <c r="C2" s="3" t="inlineStr">
        <is>
          <t>誰がログインし、誰の記録を持つか</t>
        </is>
      </c>
      <c r="D2" s="3" t="inlineStr">
        <is>
          <t>A: 保護者だけログイン、子どもは保護者の下のプロフィール（メール不要）
B: 子どもも個別にログイン</t>
        </is>
      </c>
      <c r="E2" s="3" t="inlineStr">
        <is>
          <t>A（子どもの個人情報を持たない。課金主体＝保護者）</t>
        </is>
      </c>
      <c r="F2" s="3" t="inlineStr"/>
      <c r="G2" s="3" t="inlineStr">
        <is>
          <t>子ども向けサービスなので保護者の同意を前提に</t>
        </is>
      </c>
    </row>
    <row r="3">
      <c r="A3" s="3">
        <f>ROW()-1</f>
        <v/>
      </c>
      <c r="B3" s="3" t="inlineStr">
        <is>
          <t>学習記録の持ち方</t>
        </is>
      </c>
      <c r="C3" s="3" t="inlineStr">
        <is>
          <t>解答の記録を、追記型にするか最新状態だけにするか</t>
        </is>
      </c>
      <c r="D3" s="3" t="inlineStr">
        <is>
          <t>A: 解答イベント表（追記のみ）＋問題ごとの最新状態
B: 最新状態だけ</t>
        </is>
      </c>
      <c r="E3" s="3" t="inlineStr">
        <is>
          <t>A（オフラインで解いた分も後から和集合で取り込めて矛盾しない。最新状態はイベントから再計算できる）</t>
        </is>
      </c>
      <c r="F3" s="3" t="inlineStr"/>
      <c r="G3" s="3" t="inlineStr">
        <is>
          <t>イベントにはクライアント生成のIDを持たせて二重登録を防ぐ</t>
        </is>
      </c>
    </row>
    <row r="4">
      <c r="A4" s="3">
        <f>ROW()-1</f>
        <v/>
      </c>
      <c r="B4" s="3" t="inlineStr">
        <is>
          <t>問題データの置き場所</t>
        </is>
      </c>
      <c r="C4" s="3" t="inlineStr">
        <is>
          <t>問題本体をDBに入れるか</t>
        </is>
      </c>
      <c r="D4" s="3" t="inlineStr">
        <is>
          <t>A: 問題はCSV（Git管理）のまま、DBは問題IDだけ
B: 問題表をDBにも作り外部キーを張る</t>
        </is>
      </c>
      <c r="E4" s="3" t="inlineStr">
        <is>
          <t>A（作問の流れを変えない）。Bにする場合はビルド時に問題表へ同期</t>
        </is>
      </c>
      <c r="F4" s="3" t="inlineStr"/>
      <c r="G4" s="3" t="inlineStr">
        <is>
          <t>問題IDは変更禁止（今のルールのまま）</t>
        </is>
      </c>
    </row>
    <row r="5">
      <c r="A5" s="3">
        <f>ROW()-1</f>
        <v/>
      </c>
      <c r="B5" s="3" t="inlineStr">
        <is>
          <t>アクセス制御（RLS）</t>
        </is>
      </c>
      <c r="C5" s="3" t="inlineStr">
        <is>
          <t>どの単位で行を見せるか</t>
        </is>
      </c>
      <c r="D5" s="3" t="inlineStr">
        <is>
          <t>家族（family_id）単位で、保護者はその家族の全プロフィールを読める</t>
        </is>
      </c>
      <c r="E5" s="3" t="inlineStr">
        <is>
          <t>family_id 単位のRLS</t>
        </is>
      </c>
      <c r="F5" s="3" t="inlineStr"/>
      <c r="G5" s="3" t="inlineStr">
        <is>
          <t>管理者用の操作はサーバー側のみ</t>
        </is>
      </c>
    </row>
    <row r="6">
      <c r="A6" s="3">
        <f>ROW()-1</f>
        <v/>
      </c>
      <c r="B6" s="3" t="inlineStr">
        <is>
          <t>課金まわりの表</t>
        </is>
      </c>
      <c r="C6" s="3" t="inlineStr">
        <is>
          <t>Stripeとの対応づけ</t>
        </is>
      </c>
      <c r="D6" s="3" t="inlineStr">
        <is>
          <t>契約（subscriptions）・利用できる権利（entitlements）・Stripe顧客ID・処理済みwebhook（二重処理防止）</t>
        </is>
      </c>
      <c r="E6" s="3" t="inlineStr">
        <is>
          <t>webhookはイベントIDで冪等に処理</t>
        </is>
      </c>
      <c r="F6" s="3" t="inlineStr"/>
      <c r="G6" s="3" t="inlineStr">
        <is>
          <t>有料の問題はログイン後にサーバーから配る（静的ファイルに含めない）</t>
        </is>
      </c>
    </row>
    <row r="7">
      <c r="A7" s="3">
        <f>ROW()-1</f>
        <v/>
      </c>
      <c r="B7" s="3" t="inlineStr">
        <is>
          <t>オフライン対応</t>
        </is>
      </c>
      <c r="C7" s="3" t="inlineStr">
        <is>
          <t>電波のないところで解いた記録の扱い</t>
        </is>
      </c>
      <c r="D7" s="3" t="inlineStr">
        <is>
          <t>ブラウザ保存をキャッシュとして残し、送信待ちキューから順に送る</t>
        </is>
      </c>
      <c r="E7" s="3" t="inlineStr">
        <is>
          <t>解答イベントの追記なら競合しない</t>
        </is>
      </c>
      <c r="F7" s="3" t="inlineStr"/>
      <c r="G7" s="3" t="inlineStr"/>
    </row>
    <row r="8">
      <c r="A8" s="3">
        <f>ROW()-1</f>
        <v/>
      </c>
      <c r="B8" s="3" t="inlineStr">
        <is>
          <t>今ある記録の移行</t>
        </is>
      </c>
      <c r="C8" s="3" t="inlineStr">
        <is>
          <t>サーバー導入前にブラウザに貯まった記録</t>
        </is>
      </c>
      <c r="D8" s="3" t="inlineStr">
        <is>
          <t>初回ログイン時に localStorage の学習記録・お気に入りをアップロード</t>
        </is>
      </c>
      <c r="E8" s="3" t="inlineStr">
        <is>
          <t>初回ログイン時に一度だけ取り込む</t>
        </is>
      </c>
      <c r="F8" s="3" t="inlineStr"/>
      <c r="G8" s="3" t="inlineStr"/>
    </row>
    <row r="9">
      <c r="A9" s="3">
        <f>ROW()-1</f>
        <v/>
      </c>
      <c r="B9" s="3" t="inlineStr">
        <is>
          <t>データの削除・書き出し</t>
        </is>
      </c>
      <c r="C9" s="3" t="inlineStr">
        <is>
          <t>退会時と本人からの請求</t>
        </is>
      </c>
      <c r="D9" s="3" t="inlineStr">
        <is>
          <t>アカウント削除で家族単位で削除。CSV/JSONで書き出し</t>
        </is>
      </c>
      <c r="E9" s="3" t="inlineStr"/>
      <c r="F9" s="3" t="inlineStr"/>
      <c r="G9" s="3" t="inlineStr">
        <is>
          <t>個人情報保護法への対応。利用規約・プライバシーポリシーに明記</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19"/>
  <sheetViews>
    <sheetView showGridLines="0" tabSelected="0" workbookViewId="0">
      <pane ySplit="1" topLeftCell="A2" activePane="bottomLeft" state="frozen"/>
      <selection pane="bottomLeft" activeCell="A1" sqref="A1"/>
    </sheetView>
  </sheetViews>
  <sheetFormatPr baseColWidth="8" defaultRowHeight="15"/>
  <cols>
    <col width="30" customWidth="1" style="13" min="1" max="1"/>
    <col width="40" customWidth="1" style="13" min="2" max="2"/>
    <col width="10" customWidth="1" style="13" min="3" max="3"/>
    <col width="12" customWidth="1" style="13" min="4" max="4"/>
    <col width="12" customWidth="1" style="13" min="5" max="5"/>
    <col width="56" customWidth="1" style="13" min="6" max="6"/>
  </cols>
  <sheetData>
    <row r="1">
      <c r="A1" s="11" t="inlineStr">
        <is>
          <t>段階</t>
        </is>
      </c>
      <c r="B1" s="11" t="inlineStr">
        <is>
          <t>項目</t>
        </is>
      </c>
      <c r="C1" s="11" t="inlineStr">
        <is>
          <t>値</t>
        </is>
      </c>
      <c r="D1" s="11" t="inlineStr">
        <is>
          <t>月額（円）</t>
        </is>
      </c>
      <c r="E1" s="11" t="inlineStr">
        <is>
          <t>年額（円）</t>
        </is>
      </c>
      <c r="F1" s="11" t="inlineStr">
        <is>
          <t>備考</t>
        </is>
      </c>
    </row>
    <row r="2">
      <c r="A2" s="3" t="inlineStr">
        <is>
          <t>前提</t>
        </is>
      </c>
      <c r="B2" s="3" t="inlineStr">
        <is>
          <t>為替（1ドルあたりの円）</t>
        </is>
      </c>
      <c r="C2" s="17" t="n">
        <v>150</v>
      </c>
      <c r="D2" s="18" t="n"/>
      <c r="E2" s="18" t="n"/>
      <c r="F2" s="3" t="inlineStr">
        <is>
          <t>料金はドル建て。契約前に最新の料金を確認</t>
        </is>
      </c>
    </row>
    <row r="3">
      <c r="A3" s="3" t="inlineStr">
        <is>
          <t>今（息子だけ・サーバーなし）</t>
        </is>
      </c>
      <c r="B3" s="3" t="inlineStr">
        <is>
          <t>Cloudflare Pages・GitHub・e-Stat・気象庁</t>
        </is>
      </c>
      <c r="C3" s="18" t="n"/>
      <c r="D3" s="17" t="n">
        <v>0</v>
      </c>
      <c r="E3" s="18">
        <f>D3*12</f>
        <v/>
      </c>
      <c r="F3" s="3" t="inlineStr">
        <is>
          <t>すべて無料枠</t>
        </is>
      </c>
    </row>
    <row r="4">
      <c r="A4" s="3" t="inlineStr">
        <is>
          <t>サーバーあり（家族・小規模公開）</t>
        </is>
      </c>
      <c r="B4" s="3" t="inlineStr">
        <is>
          <t>Supabase 無料プラン</t>
        </is>
      </c>
      <c r="C4" s="18" t="n"/>
      <c r="D4" s="17" t="n">
        <v>0</v>
      </c>
      <c r="E4" s="18">
        <f>D4*12</f>
        <v/>
      </c>
      <c r="F4" s="3" t="inlineStr">
        <is>
          <t>DB 500MBまで。7日間アクセスがないと休止。自動バックアップなし</t>
        </is>
      </c>
    </row>
    <row r="5">
      <c r="A5" s="3" t="inlineStr">
        <is>
          <t>サーバーあり（家族・小規模公開）</t>
        </is>
      </c>
      <c r="B5" s="3" t="inlineStr">
        <is>
          <t>独自ドメイン（年額を12で割って月額に）</t>
        </is>
      </c>
      <c r="C5" s="18" t="n"/>
      <c r="D5" s="18">
        <f>E5/12</f>
        <v/>
      </c>
      <c r="E5" s="17" t="n">
        <v>2000</v>
      </c>
      <c r="F5" s="3" t="inlineStr">
        <is>
          <t>Cloudflare Registrar は原価販売。.com でおよそ年1,500〜2,000円</t>
        </is>
      </c>
    </row>
    <row r="6">
      <c r="A6" s="3" t="inlineStr">
        <is>
          <t>有料公開（最小構成）</t>
        </is>
      </c>
      <c r="B6" s="3" t="inlineStr">
        <is>
          <t>Supabase 無料プラン</t>
        </is>
      </c>
      <c r="C6" s="18" t="n"/>
      <c r="D6" s="17" t="n">
        <v>0</v>
      </c>
      <c r="E6" s="18">
        <f>D6*12</f>
        <v/>
      </c>
      <c r="F6" s="3" t="inlineStr">
        <is>
          <t>利用者がいれば休止しない。バックアップは自前（pg_dump を定期実行）</t>
        </is>
      </c>
    </row>
    <row r="7">
      <c r="A7" s="3" t="inlineStr">
        <is>
          <t>有料公開（最小構成）</t>
        </is>
      </c>
      <c r="B7" s="3" t="inlineStr">
        <is>
          <t>独自ドメイン</t>
        </is>
      </c>
      <c r="C7" s="18" t="n"/>
      <c r="D7" s="18">
        <f>E7/12</f>
        <v/>
      </c>
      <c r="E7" s="17" t="n">
        <v>2000</v>
      </c>
      <c r="F7" s="3" t="inlineStr"/>
    </row>
    <row r="8">
      <c r="A8" s="3" t="inlineStr">
        <is>
          <t>有料公開（最小構成）</t>
        </is>
      </c>
      <c r="B8" s="3" t="inlineStr">
        <is>
          <t>Stripe</t>
        </is>
      </c>
      <c r="C8" s="18" t="n"/>
      <c r="D8" s="17" t="n">
        <v>0</v>
      </c>
      <c r="E8" s="18">
        <f>D8*12</f>
        <v/>
      </c>
      <c r="F8" s="3" t="inlineStr">
        <is>
          <t>月額なし。決済ごとに約3.6%</t>
        </is>
      </c>
    </row>
    <row r="9">
      <c r="A9" s="3" t="inlineStr">
        <is>
          <t>有料公開（本格）</t>
        </is>
      </c>
      <c r="B9" s="3" t="inlineStr">
        <is>
          <t>Supabase Pro（25ドル）</t>
        </is>
      </c>
      <c r="C9" s="18" t="n"/>
      <c r="D9" s="18">
        <f>25*$C$2</f>
        <v/>
      </c>
      <c r="E9" s="18">
        <f>D9*12</f>
        <v/>
      </c>
      <c r="F9" s="3" t="inlineStr">
        <is>
          <t>自動バックアップ・休止なし</t>
        </is>
      </c>
    </row>
    <row r="10">
      <c r="A10" s="3" t="inlineStr">
        <is>
          <t>有料公開（本格）</t>
        </is>
      </c>
      <c r="B10" s="3" t="inlineStr">
        <is>
          <t>Cloudflare Workers 有料（5ドル）</t>
        </is>
      </c>
      <c r="C10" s="18" t="n"/>
      <c r="D10" s="18">
        <f>5*$C$2</f>
        <v/>
      </c>
      <c r="E10" s="18">
        <f>D10*12</f>
        <v/>
      </c>
      <c r="F10" s="3" t="inlineStr">
        <is>
          <t>サーバー処理が無料枠を超えたら</t>
        </is>
      </c>
    </row>
    <row r="11">
      <c r="A11" s="3" t="inlineStr">
        <is>
          <t>有料公開（本格）</t>
        </is>
      </c>
      <c r="B11" s="3" t="inlineStr">
        <is>
          <t>独自ドメイン</t>
        </is>
      </c>
      <c r="C11" s="18" t="n"/>
      <c r="D11" s="18">
        <f>E11/12</f>
        <v/>
      </c>
      <c r="E11" s="17" t="n">
        <v>2000</v>
      </c>
      <c r="F11" s="3" t="inlineStr"/>
    </row>
    <row r="13">
      <c r="A13" s="11" t="inlineStr">
        <is>
          <t>段階ごとの月額合計（決済手数料を除く）</t>
        </is>
      </c>
    </row>
    <row r="14">
      <c r="A14" s="3" t="inlineStr">
        <is>
          <t>今（息子だけ・サーバーなし）</t>
        </is>
      </c>
      <c r="B14" s="3" t="n"/>
      <c r="C14" s="3" t="n"/>
      <c r="D14" s="18">
        <f>SUMIF($A$3:$A$11,A14,$D$3:$D$11)</f>
        <v/>
      </c>
      <c r="E14" s="18">
        <f>D14*12</f>
        <v/>
      </c>
      <c r="F14" s="3" t="n"/>
    </row>
    <row r="15">
      <c r="A15" s="3" t="inlineStr">
        <is>
          <t>サーバーあり（家族・小規模公開）</t>
        </is>
      </c>
      <c r="B15" s="3" t="n"/>
      <c r="C15" s="3" t="n"/>
      <c r="D15" s="18">
        <f>SUMIF($A$3:$A$11,A15,$D$3:$D$11)</f>
        <v/>
      </c>
      <c r="E15" s="18">
        <f>D15*12</f>
        <v/>
      </c>
      <c r="F15" s="3" t="n"/>
    </row>
    <row r="16">
      <c r="A16" s="3" t="inlineStr">
        <is>
          <t>有料公開（最小構成）</t>
        </is>
      </c>
      <c r="B16" s="3" t="n"/>
      <c r="C16" s="3" t="n"/>
      <c r="D16" s="18">
        <f>SUMIF($A$3:$A$11,A16,$D$3:$D$11)</f>
        <v/>
      </c>
      <c r="E16" s="18">
        <f>D16*12</f>
        <v/>
      </c>
      <c r="F16" s="3" t="n"/>
    </row>
    <row r="17">
      <c r="A17" s="3" t="inlineStr">
        <is>
          <t>有料公開（本格）</t>
        </is>
      </c>
      <c r="B17" s="3" t="n"/>
      <c r="C17" s="3" t="n"/>
      <c r="D17" s="18">
        <f>SUMIF($A$3:$A$11,A17,$D$3:$D$11)</f>
        <v/>
      </c>
      <c r="E17" s="18">
        <f>D17*12</f>
        <v/>
      </c>
      <c r="F17" s="3" t="n"/>
    </row>
    <row r="19">
      <c r="A19" s="0" t="inlineStr">
        <is>
          <t>青字＝入力値（料金・為替）、黒字＝数式。料金は2026年10月時点の目安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showGridLines="0" tabSelected="0" workbookViewId="0">
      <selection activeCell="A1" sqref="A1"/>
    </sheetView>
  </sheetViews>
  <sheetFormatPr baseColWidth="8" defaultRowHeight="13.5"/>
  <sheetData>
    <row r="1">
      <c r="A1" s="0" t="inlineStr">
        <is>
          <t>このリストは、質問表と課題管理表にリンクしています</t>
        </is>
      </c>
    </row>
    <row r="2">
      <c r="A2" s="11" t="inlineStr">
        <is>
          <t>優先度</t>
        </is>
      </c>
      <c r="B2" s="11" t="inlineStr">
        <is>
          <t>ステータス</t>
        </is>
      </c>
      <c r="C2" s="11" t="inlineStr">
        <is>
          <t>ステータス</t>
        </is>
      </c>
    </row>
    <row r="3">
      <c r="A3" s="8" t="inlineStr">
        <is>
          <t>1：高</t>
        </is>
      </c>
      <c r="B3" s="8" t="inlineStr">
        <is>
          <t>1：未着手</t>
        </is>
      </c>
      <c r="C3" s="8" t="inlineStr">
        <is>
          <t>未</t>
        </is>
      </c>
    </row>
    <row r="4">
      <c r="A4" s="8" t="inlineStr">
        <is>
          <t>2：中</t>
        </is>
      </c>
      <c r="B4" s="8" t="inlineStr">
        <is>
          <t>2：着手</t>
        </is>
      </c>
      <c r="C4" s="8" t="inlineStr">
        <is>
          <t>済</t>
        </is>
      </c>
    </row>
    <row r="5">
      <c r="A5" s="8" t="inlineStr">
        <is>
          <t>3：低</t>
        </is>
      </c>
      <c r="B5" s="8" t="inlineStr">
        <is>
          <t>9：完了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雄文 内山</dc:creator>
  <dcterms:created xsi:type="dcterms:W3CDTF">2015-06-05T18:19:34Z</dcterms:created>
  <dcterms:modified xsi:type="dcterms:W3CDTF">2026-10-12T03:40:51Z</dcterms:modified>
  <cp:lastModifiedBy>雄文 内山</cp:lastModifiedBy>
</cp:coreProperties>
</file>