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検証</t>
        </is>
      </c>
      <c r="D16" s="3" t="inlineStr">
        <is>
          <t>息子さんの利用観察</t>
        </is>
      </c>
      <c r="E16" s="3" t="inlineStr">
        <is>
          <t>1日5〜10分。テンポ・操作の不満をメモ→課題管理表へ</t>
        </is>
      </c>
      <c r="F16" s="16" t="n">
        <v>46300</v>
      </c>
      <c r="G16" s="16" t="n">
        <v>46313</v>
      </c>
      <c r="H16" s="3" t="inlineStr">
        <is>
          <t>未</t>
        </is>
      </c>
      <c r="I16" s="3" t="inlineStr"/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企画</t>
        </is>
      </c>
      <c r="D17" s="3" t="inlineStr">
        <is>
          <t>ライバルサイト調査</t>
        </is>
      </c>
      <c r="E17" s="3" t="inlineStr">
        <is>
          <t>5サイトの機能を列挙。差別化＝間違えた問題の記録と復習</t>
        </is>
      </c>
      <c r="F17" s="16" t="n">
        <v>46299</v>
      </c>
      <c r="G17" s="16" t="n">
        <v>46299</v>
      </c>
      <c r="H17" s="3" t="inlineStr">
        <is>
          <t>済</t>
        </is>
      </c>
      <c r="I17" s="3" t="inlineStr"/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コンテンツ</t>
        </is>
      </c>
      <c r="D18" s="3" t="inlineStr">
        <is>
          <t>問題300問へ</t>
        </is>
      </c>
      <c r="E18" s="3" t="inlineStr">
        <is>
          <t>塾の単元進度・苦手分野から優先。文章は自作</t>
        </is>
      </c>
      <c r="F18" s="16" t="n">
        <v>46300</v>
      </c>
      <c r="G18" s="16" t="n">
        <v>46313</v>
      </c>
      <c r="H18" s="3" t="inlineStr">
        <is>
          <t>未</t>
        </is>
      </c>
      <c r="I18" s="3" t="inlineStr"/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開発</t>
        </is>
      </c>
      <c r="D19" s="3" t="inlineStr">
        <is>
          <t>学習記録のバックアップ</t>
        </is>
      </c>
      <c r="E19" s="3" t="inlineStr">
        <is>
          <t>JSONエクスポート/インポート（端末変更・ブラウザ削除対策）</t>
        </is>
      </c>
      <c r="F19" s="16" t="n">
        <v>46307</v>
      </c>
      <c r="G19" s="16" t="n">
        <v>46313</v>
      </c>
      <c r="H19" s="3" t="inlineStr">
        <is>
          <t>未</t>
        </is>
      </c>
      <c r="I19" s="3" t="inlineStr"/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開発</t>
        </is>
      </c>
      <c r="D20" s="3" t="inlineStr">
        <is>
          <t>PWA化</t>
        </is>
      </c>
      <c r="E20" s="3" t="inlineStr">
        <is>
          <t>ホーム画面に追加してアプリのように起動</t>
        </is>
      </c>
      <c r="F20" s="16" t="n">
        <v>46307</v>
      </c>
      <c r="G20" s="16" t="n">
        <v>46313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開発</t>
        </is>
      </c>
      <c r="D21" s="3" t="inlineStr">
        <is>
          <t>問題の誤り報告</t>
        </is>
      </c>
      <c r="E21" s="3" t="inlineStr">
        <is>
          <t>問題ごとに「おかしい？」ボタン→メモ保存</t>
        </is>
      </c>
      <c r="F21" s="16" t="n">
        <v>46307</v>
      </c>
      <c r="G21" s="16" t="n">
        <v>46313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P2 最難関対策の強化</t>
        </is>
      </c>
      <c r="C22" s="3" t="inlineStr">
        <is>
          <t>開発</t>
        </is>
      </c>
      <c r="D22" s="3" t="inlineStr">
        <is>
          <t>入力式（漢字で書く）モード</t>
        </is>
      </c>
      <c r="E22" s="3" t="inlineStr">
        <is>
          <t>自己採点の甘さ対策。表記ゆれは別解リストで判定</t>
        </is>
      </c>
      <c r="F22" s="16" t="n">
        <v>46314</v>
      </c>
      <c r="G22" s="16" t="n">
        <v>46327</v>
      </c>
      <c r="H22" s="3" t="inlineStr">
        <is>
          <t>未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P2 最難関対策の強化</t>
        </is>
      </c>
      <c r="C23" s="3" t="inlineStr">
        <is>
          <t>開発</t>
        </is>
      </c>
      <c r="D23" s="3" t="inlineStr">
        <is>
          <t>年号の一問一答</t>
        </is>
      </c>
      <c r="E23" s="3" t="inlineStr">
        <is>
          <t>「出来事→何年？」「○年→何が起きた？」の両方向。年表CSV（年・出来事・単元）から自動で問題を作る案</t>
        </is>
      </c>
      <c r="F23" s="16" t="n">
        <v>46314</v>
      </c>
      <c r="G23" s="16" t="n">
        <v>46327</v>
      </c>
      <c r="H23" s="3" t="inlineStr">
        <is>
          <t>未</t>
        </is>
      </c>
      <c r="I23" s="3" t="inlineStr">
        <is>
          <t>年代並べ替えと同じデータを使える</t>
        </is>
      </c>
      <c r="J23" s="7" t="inlineStr">
        <is>
          <t>e</t>
        </is>
      </c>
    </row>
    <row r="24">
      <c r="A24" s="6">
        <f>+ROW()-ROW($A$1)</f>
        <v/>
      </c>
      <c r="B24" s="3" t="inlineStr">
        <is>
          <t>P2 最難関対策の強化</t>
        </is>
      </c>
      <c r="C24" s="3" t="inlineStr">
        <is>
          <t>開発</t>
        </is>
      </c>
      <c r="D24" s="3" t="inlineStr">
        <is>
          <t>年代並べ替え問題</t>
        </is>
      </c>
      <c r="E24" s="3" t="inlineStr">
        <is>
          <t>出来事を古い順に並べる形式</t>
        </is>
      </c>
      <c r="F24" s="16" t="n">
        <v>46314</v>
      </c>
      <c r="G24" s="16" t="n">
        <v>46327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P2 最難関対策の強化</t>
        </is>
      </c>
      <c r="C25" s="3" t="inlineStr">
        <is>
          <t>開発</t>
        </is>
      </c>
      <c r="D25" s="3" t="inlineStr">
        <is>
          <t>正誤判定問題</t>
        </is>
      </c>
      <c r="E25" s="3" t="inlineStr">
        <is>
          <t>「誤っているものを選べ」形式。条件読み飛ばし対策</t>
        </is>
      </c>
      <c r="F25" s="16" t="n">
        <v>46328</v>
      </c>
      <c r="G25" s="16" t="n">
        <v>46343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P2 最難関対策の強化</t>
        </is>
      </c>
      <c r="C26" s="3" t="inlineStr">
        <is>
          <t>開発</t>
        </is>
      </c>
      <c r="D26" s="3" t="inlineStr">
        <is>
          <t>図表・資料問題</t>
        </is>
      </c>
      <c r="E26" s="3" t="inlineStr">
        <is>
          <t>雨温図・地形図・統計グラフ・史料の画像を問題に表示</t>
        </is>
      </c>
      <c r="F26" s="16" t="n">
        <v>46328</v>
      </c>
      <c r="G26" s="16" t="n">
        <v>46343</v>
      </c>
      <c r="H26" s="3" t="inlineStr">
        <is>
          <t>未</t>
        </is>
      </c>
      <c r="I26" s="3" t="inlineStr">
        <is>
          <t>画像列は実装済</t>
        </is>
      </c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地図で学ぶ地理</t>
        </is>
      </c>
      <c r="E27" s="3" t="inlineStr">
        <is>
          <t>地図上のピンで場所を答える・問題の場所を地図で見る。地理院地図＋Leaflet（無料）を第一候補</t>
        </is>
      </c>
      <c r="F27" s="16" t="n">
        <v>46328</v>
      </c>
      <c r="G27" s="16" t="n">
        <v>46343</v>
      </c>
      <c r="H27" s="3" t="inlineStr">
        <is>
          <t>未</t>
        </is>
      </c>
      <c r="I27" s="3" t="inlineStr">
        <is>
          <t>CSVの地図列は実装済</t>
        </is>
      </c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漢字・人物などの軸で参照</t>
        </is>
      </c>
      <c r="E28" s="3" t="inlineStr">
        <is>
          <t>テーマ別の一覧ページ（漢字が難しい問題、人物別など）</t>
        </is>
      </c>
      <c r="F28" s="16" t="n">
        <v>46314</v>
      </c>
      <c r="G28" s="16" t="n">
        <v>46327</v>
      </c>
      <c r="H28" s="3" t="inlineStr">
        <is>
          <t>未</t>
        </is>
      </c>
      <c r="I28" s="3" t="inlineStr">
        <is>
          <t>絞り込みは実装済</t>
        </is>
      </c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間違い理由タグ</t>
        </is>
      </c>
      <c r="E29" s="3" t="inlineStr">
        <is>
          <t>ド忘れ／漢字ミス／読み飛ばし などを記録し傾向を表示</t>
        </is>
      </c>
      <c r="F29" s="16" t="n">
        <v>46328</v>
      </c>
      <c r="G29" s="16" t="n">
        <v>46343</v>
      </c>
      <c r="H29" s="3" t="inlineStr">
        <is>
          <t>未</t>
        </is>
      </c>
      <c r="I29" s="3" t="inlineStr"/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復習タイミングの自動化</t>
        </is>
      </c>
      <c r="E30" s="3" t="inlineStr">
        <is>
          <t>忘却曲線ベースで「今日復習すべき問題」を出す</t>
        </is>
      </c>
      <c r="F30" s="16" t="n">
        <v>46328</v>
      </c>
      <c r="G30" s="16" t="n">
        <v>46343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コンテンツ</t>
        </is>
      </c>
      <c r="D31" s="3" t="inlineStr">
        <is>
          <t>問題600問へ</t>
        </is>
      </c>
      <c r="E31" s="3" t="inlineStr">
        <is>
          <t>統計問題には出典年を持たせる</t>
        </is>
      </c>
      <c r="F31" s="16" t="n">
        <v>46314</v>
      </c>
      <c r="G31" s="16" t="n">
        <v>46343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P3 直前期</t>
        </is>
      </c>
      <c r="C32" s="3" t="inlineStr">
        <is>
          <t>コンテンツ</t>
        </is>
      </c>
      <c r="D32" s="3" t="inlineStr">
        <is>
          <t>時事問題（2026年）</t>
        </is>
      </c>
      <c r="E32" s="3" t="inlineStr">
        <is>
          <t>その年の時事は入試頻出。11月〜12月に集中整備</t>
        </is>
      </c>
      <c r="F32" s="16" t="n">
        <v>46344</v>
      </c>
      <c r="G32" s="16" t="n">
        <v>46373</v>
      </c>
      <c r="H32" s="3" t="inlineStr">
        <is>
          <t>未</t>
        </is>
      </c>
      <c r="I32" s="3" t="inlineStr"/>
      <c r="J32" s="7" t="inlineStr">
        <is>
          <t>e</t>
        </is>
      </c>
    </row>
    <row r="33">
      <c r="A33" s="6">
        <f>+ROW()-ROW($A$1)</f>
        <v/>
      </c>
      <c r="B33" s="3" t="inlineStr">
        <is>
          <t>P3 直前期</t>
        </is>
      </c>
      <c r="C33" s="3" t="inlineStr">
        <is>
          <t>開発</t>
        </is>
      </c>
      <c r="D33" s="3" t="inlineStr">
        <is>
          <t>記述問題特訓</t>
        </is>
      </c>
      <c r="E33" s="3" t="inlineStr">
        <is>
          <t>模範解答＋採点ポイントのチェックリストで自己採点。専用CSV（記述.csv）</t>
        </is>
      </c>
      <c r="F33" s="16" t="n">
        <v>46344</v>
      </c>
      <c r="G33" s="16" t="n">
        <v>46373</v>
      </c>
      <c r="H33" s="3" t="inlineStr">
        <is>
          <t>未</t>
        </is>
      </c>
      <c r="I33" s="3" t="inlineStr"/>
      <c r="J33" s="7" t="inlineStr">
        <is>
          <t>e</t>
        </is>
      </c>
    </row>
    <row r="34">
      <c r="A34" s="6">
        <f>+ROW()-ROW($A$1)</f>
        <v/>
      </c>
      <c r="B34" s="3" t="inlineStr">
        <is>
          <t>P3 直前期</t>
        </is>
      </c>
      <c r="C34" s="3" t="inlineStr">
        <is>
          <t>開発</t>
        </is>
      </c>
      <c r="D34" s="3" t="inlineStr">
        <is>
          <t>人物相関図</t>
        </is>
      </c>
      <c r="E34" s="3" t="inlineStr">
        <is>
          <t>人物CSV＋関係CSVから図を生成。問題から人物へジャンプ</t>
        </is>
      </c>
      <c r="F34" s="16" t="n">
        <v>46344</v>
      </c>
      <c r="G34" s="16" t="n">
        <v>46373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P3 直前期</t>
        </is>
      </c>
      <c r="C35" s="3" t="inlineStr">
        <is>
          <t>開発</t>
        </is>
      </c>
      <c r="D35" s="3" t="inlineStr">
        <is>
          <t>まとめカード</t>
        </is>
      </c>
      <c r="E35" s="3" t="inlineStr">
        <is>
          <t>年表・政治のしくみ図など</t>
        </is>
      </c>
      <c r="F35" s="16" t="n">
        <v>46344</v>
      </c>
      <c r="G35" s="16" t="n">
        <v>46373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P3 直前期</t>
        </is>
      </c>
      <c r="C36" s="3" t="inlineStr">
        <is>
          <t>開発</t>
        </is>
      </c>
      <c r="D36" s="3" t="inlineStr">
        <is>
          <t>弱点ダッシュボード</t>
        </is>
      </c>
      <c r="E36" s="3" t="inlineStr">
        <is>
          <t>分野・時代・単元ごとの正答率</t>
        </is>
      </c>
      <c r="F36" s="16" t="n">
        <v>46344</v>
      </c>
      <c r="G36" s="16" t="n">
        <v>46373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P3 直前期</t>
        </is>
      </c>
      <c r="C37" s="3" t="inlineStr">
        <is>
          <t>コンテンツ</t>
        </is>
      </c>
      <c r="D37" s="3" t="inlineStr">
        <is>
          <t>問題1000問へ</t>
        </is>
      </c>
      <c r="E37" s="3" t="inlineStr"/>
      <c r="F37" s="16" t="n">
        <v>46344</v>
      </c>
      <c r="G37" s="16" t="n">
        <v>46373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P4 仕上げ</t>
        </is>
      </c>
      <c r="C38" s="3" t="inlineStr">
        <is>
          <t>開発</t>
        </is>
      </c>
      <c r="D38" s="3" t="inlineStr">
        <is>
          <t>総復習モード</t>
        </is>
      </c>
      <c r="E38" s="3" t="inlineStr">
        <is>
          <t>△×と最近間違えた問題を毎日自動で出題</t>
        </is>
      </c>
      <c r="F38" s="16" t="n">
        <v>46374</v>
      </c>
      <c r="G38" s="16" t="n">
        <v>46389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P4 仕上げ</t>
        </is>
      </c>
      <c r="C39" s="3" t="inlineStr">
        <is>
          <t>運用</t>
        </is>
      </c>
      <c r="D39" s="3" t="inlineStr">
        <is>
          <t>バグ修正・安定化</t>
        </is>
      </c>
      <c r="E39" s="3" t="inlineStr">
        <is>
          <t>入試直前は新機能より安定を優先</t>
        </is>
      </c>
      <c r="F39" s="16" t="n">
        <v>46374</v>
      </c>
      <c r="G39" s="16" t="n">
        <v>46389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P4 仕上げ</t>
        </is>
      </c>
      <c r="C40" s="3" t="inlineStr">
        <is>
          <t>企画</t>
        </is>
      </c>
      <c r="D40" s="3" t="inlineStr">
        <is>
          <t>90日MVP完了</t>
        </is>
      </c>
      <c r="E40" s="3" t="inlineStr">
        <is>
          <t>Day90</t>
        </is>
      </c>
      <c r="F40" s="16" t="n">
        <v>46389</v>
      </c>
      <c r="G40" s="16" t="n">
        <v>46389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P4 仕上げ</t>
        </is>
      </c>
      <c r="C41" s="3" t="inlineStr">
        <is>
          <t>マイルストーン</t>
        </is>
      </c>
      <c r="D41" s="3" t="inlineStr">
        <is>
          <t>入試本番</t>
        </is>
      </c>
      <c r="E41" s="3" t="inlineStr"/>
      <c r="F41" s="16" t="n">
        <v>46419</v>
      </c>
      <c r="G41" s="16" t="n">
        <v>46419</v>
      </c>
      <c r="H41" s="3" t="inlineStr">
        <is>
          <t>未</t>
        </is>
      </c>
      <c r="I41" s="3" t="inlineStr">
        <is>
          <t>2月以降は機能追加を止める</t>
        </is>
      </c>
      <c r="J41" s="7" t="inlineStr">
        <is>
          <t>e</t>
        </is>
      </c>
    </row>
    <row r="42">
      <c r="A42" s="6">
        <f>+ROW()-ROW($A$1)</f>
        <v/>
      </c>
      <c r="B42" s="3" t="inlineStr">
        <is>
          <t>P5 一般公開・収益化</t>
        </is>
      </c>
      <c r="C42" s="3" t="inlineStr">
        <is>
          <t>開発</t>
        </is>
      </c>
      <c r="D42" s="3" t="inlineStr">
        <is>
          <t>Cloudflare Workersへ移行</t>
        </is>
      </c>
      <c r="E42" s="3" t="inlineStr">
        <is>
          <t>静的書き出し→@opennextjs/cloudflare。サーバー処理を可能に</t>
        </is>
      </c>
      <c r="F42" s="16" t="n">
        <v>46433</v>
      </c>
      <c r="G42" s="16" t="n">
        <v>46446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P5 一般公開・収益化</t>
        </is>
      </c>
      <c r="C43" s="3" t="inlineStr">
        <is>
          <t>開発</t>
        </is>
      </c>
      <c r="D43" s="3" t="inlineStr">
        <is>
          <t>ログイン・端末間同期</t>
        </is>
      </c>
      <c r="E43" s="3" t="inlineStr">
        <is>
          <t>Supabase等。保護者アカウント＋子ども</t>
        </is>
      </c>
      <c r="F43" s="16" t="n">
        <v>46433</v>
      </c>
      <c r="G43" s="16" t="n">
        <v>46477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P5 一般公開・収益化</t>
        </is>
      </c>
      <c r="C44" s="3" t="inlineStr">
        <is>
          <t>事業</t>
        </is>
      </c>
      <c r="D44" s="3" t="inlineStr">
        <is>
          <t>料金設計・課金</t>
        </is>
      </c>
      <c r="E44" s="3" t="inlineStr">
        <is>
          <t>無料枠＋有料（問題数・分析）。Stripe</t>
        </is>
      </c>
      <c r="F44" s="16" t="n">
        <v>46433</v>
      </c>
      <c r="G44" s="16" t="n">
        <v>46477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P5 一般公開・収益化</t>
        </is>
      </c>
      <c r="C45" s="3" t="inlineStr">
        <is>
          <t>事業</t>
        </is>
      </c>
      <c r="D45" s="3" t="inlineStr">
        <is>
          <t>利用規約・プライバシーポリシー</t>
        </is>
      </c>
      <c r="E45" s="3" t="inlineStr">
        <is>
          <t>子ども向けサービスのため保護者同意を前提に</t>
        </is>
      </c>
      <c r="F45" s="16" t="n">
        <v>46433</v>
      </c>
      <c r="G45" s="16" t="n">
        <v>46477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P5 一般公開・収益化</t>
        </is>
      </c>
      <c r="C46" s="3" t="inlineStr">
        <is>
          <t>事業</t>
        </is>
      </c>
      <c r="D46" s="3" t="inlineStr">
        <is>
          <t>独自ドメイン・集客</t>
        </is>
      </c>
      <c r="E46" s="3" t="inlineStr">
        <is>
          <t>SEO・塾ママ/パパ向けSNS</t>
        </is>
      </c>
      <c r="F46" s="16" t="n">
        <v>46433</v>
      </c>
      <c r="G46" s="16" t="n">
        <v>46477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P5 一般公開・収益化</t>
        </is>
      </c>
      <c r="C47" s="3" t="inlineStr">
        <is>
          <t>開発</t>
        </is>
      </c>
      <c r="D47" s="3" t="inlineStr">
        <is>
          <t>保護者ダッシュボード</t>
        </is>
      </c>
      <c r="E47" s="3" t="inlineStr">
        <is>
          <t>学習時間・弱点を保護者が確認</t>
        </is>
      </c>
      <c r="F47" s="16" t="n">
        <v>46447</v>
      </c>
      <c r="G47" s="16" t="n">
        <v>46477</v>
      </c>
      <c r="H47" s="3" t="inlineStr">
        <is>
          <t>未</t>
        </is>
      </c>
      <c r="I47" s="3" t="inlineStr"/>
      <c r="J47" s="7" t="inlineStr">
        <is>
          <t>e</t>
        </is>
      </c>
    </row>
    <row r="48">
      <c r="A48" s="15" t="inlineStr">
        <is>
          <t>e</t>
        </is>
      </c>
      <c r="B48" s="15" t="inlineStr">
        <is>
          <t>e</t>
        </is>
      </c>
      <c r="C48" s="15" t="inlineStr">
        <is>
          <t>e</t>
        </is>
      </c>
      <c r="D48" s="15" t="inlineStr">
        <is>
          <t>e</t>
        </is>
      </c>
      <c r="E48" s="15" t="inlineStr">
        <is>
          <t>e</t>
        </is>
      </c>
      <c r="F48" s="15" t="inlineStr">
        <is>
          <t>e</t>
        </is>
      </c>
      <c r="G48" s="15" t="inlineStr">
        <is>
          <t>e</t>
        </is>
      </c>
      <c r="H48" s="15" t="inlineStr">
        <is>
          <t>e</t>
        </is>
      </c>
      <c r="I48" s="15" t="inlineStr">
        <is>
          <t>e</t>
        </is>
      </c>
      <c r="J48" s="15" t="inlineStr">
        <is>
          <t>e</t>
        </is>
      </c>
    </row>
  </sheetData>
  <conditionalFormatting sqref="B2:E47">
    <cfRule type="expression" priority="1" dxfId="5">
      <formula>B1=B2</formula>
    </cfRule>
  </conditionalFormatting>
  <conditionalFormatting sqref="B2:I47">
    <cfRule type="expression" priority="2" dxfId="6">
      <formula>$H2="済"</formula>
    </cfRule>
  </conditionalFormatting>
  <dataValidations count="1">
    <dataValidation sqref="H2:H47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2026-10-04T00:14:33Z</dcterms:modified>
  <cp:lastModifiedBy>雄文 内山</cp:lastModifiedBy>
</cp:coreProperties>
</file>